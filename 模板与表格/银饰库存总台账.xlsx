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货品编号规则" sheetId="2" state="visible" r:id="rId2"/>
    <sheet xmlns:r="http://schemas.openxmlformats.org/officeDocument/2006/relationships" name="入库登记" sheetId="3" state="visible" r:id="rId3"/>
    <sheet xmlns:r="http://schemas.openxmlformats.org/officeDocument/2006/relationships" name="出库登记" sheetId="4" state="visible" r:id="rId4"/>
    <sheet xmlns:r="http://schemas.openxmlformats.org/officeDocument/2006/relationships" name="分货记录" sheetId="5" state="visible" r:id="rId5"/>
    <sheet xmlns:r="http://schemas.openxmlformats.org/officeDocument/2006/relationships" name="总库存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银饰库存总台账（百万货品统一管理）</t>
        </is>
      </c>
    </row>
    <row r="2">
      <c r="A2" s="2" t="inlineStr"/>
    </row>
    <row r="3">
      <c r="A3" s="2" t="inlineStr">
        <is>
          <t>用途：把你散落未整理的百万银饰，逐件登记，形成唯一总库存表。</t>
        </is>
      </c>
    </row>
    <row r="4">
      <c r="A4" s="2" t="inlineStr">
        <is>
          <t>核心原则：每件货品有唯一【货品编号】，入库/出库/分货全部围绕编号走。</t>
        </is>
      </c>
    </row>
    <row r="5">
      <c r="A5" s="2" t="inlineStr"/>
    </row>
    <row r="6">
      <c r="A6" s="2" t="inlineStr">
        <is>
          <t>操作流程（每天只做 3 步）：</t>
        </is>
      </c>
    </row>
    <row r="7">
      <c r="A7" s="2" t="inlineStr">
        <is>
          <t xml:space="preserve">  1) 入库：新到货 → 填【入库登记】→ 系统给编号 → 拍照片存手机相册并按编号命名。</t>
        </is>
      </c>
    </row>
    <row r="8">
      <c r="A8" s="2" t="inlineStr">
        <is>
          <t xml:space="preserve">  2) 出库：发货 → 填【出库登记】→ 必填【复核人】（家人发货也必须你或另一人核对）。</t>
        </is>
      </c>
    </row>
    <row r="9">
      <c r="A9" s="2" t="inlineStr">
        <is>
          <t xml:space="preserve">  3) 分货：一批货分给多个客户 → 填【分货记录】→ 系统自动汇总到【总库存汇总】。</t>
        </is>
      </c>
    </row>
    <row r="10">
      <c r="A10" s="2" t="inlineStr"/>
    </row>
    <row r="11">
      <c r="A11" s="2" t="inlineStr">
        <is>
          <t>扫码思路（零预算）：用手机相机给每件货贴的【货品编号纸条】拍照即可，</t>
        </is>
      </c>
    </row>
    <row r="12">
      <c r="A12" s="2" t="inlineStr">
        <is>
          <t xml:space="preserve">  编号本身当‘二维码’用；后期可换‘扫码小程序’，但 Excel 已够用。</t>
        </is>
      </c>
    </row>
    <row r="13">
      <c r="A13" s="2" t="inlineStr"/>
    </row>
    <row r="14">
      <c r="A14" s="2" t="inlineStr">
        <is>
          <t>错发防控：出库前必须拍【装箱视频】发客户确认；出库单无复核人签字=不准发货。</t>
        </is>
      </c>
    </row>
    <row r="15">
      <c r="A15" s="2" t="inlineStr">
        <is>
          <t>当前库存 = 入库总量 - 出库总量，【总库存汇总】用公式自动算，不许手填。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>
      <c r="A1" s="1" t="inlineStr">
        <is>
          <t>货品编号规则（请照此给每件货编号）</t>
        </is>
      </c>
    </row>
    <row r="2">
      <c r="A2" s="3" t="inlineStr">
        <is>
          <t>字段</t>
        </is>
      </c>
      <c r="B2" s="3" t="inlineStr">
        <is>
          <t>写法示例</t>
        </is>
      </c>
      <c r="C2" s="3" t="inlineStr">
        <is>
          <t>说明</t>
        </is>
      </c>
    </row>
    <row r="3">
      <c r="A3" s="4" t="inlineStr">
        <is>
          <t>品类代码</t>
        </is>
      </c>
      <c r="B3" s="4" t="inlineStr">
        <is>
          <t>YG=银饰 / BS=宝石 / SP=香料 / TE=茶 / CR=手工艺</t>
        </is>
      </c>
      <c r="C3" s="4" t="inlineStr">
        <is>
          <t>第一位，2字母</t>
        </is>
      </c>
    </row>
    <row r="4">
      <c r="A4" s="4" t="inlineStr">
        <is>
          <t>年份月份</t>
        </is>
      </c>
      <c r="B4" s="4" t="inlineStr">
        <is>
          <t>2507</t>
        </is>
      </c>
      <c r="C4" s="4" t="inlineStr">
        <is>
          <t>到货年月，如2025年7月</t>
        </is>
      </c>
    </row>
    <row r="5">
      <c r="A5" s="4" t="inlineStr">
        <is>
          <t>流水号</t>
        </is>
      </c>
      <c r="B5" s="4" t="inlineStr">
        <is>
          <t>001 / 002 ...</t>
        </is>
      </c>
      <c r="C5" s="4" t="inlineStr">
        <is>
          <t>当月第几件，3位</t>
        </is>
      </c>
    </row>
    <row r="6">
      <c r="A6" s="4" t="inlineStr">
        <is>
          <t>完整编号</t>
        </is>
      </c>
      <c r="B6" s="4" t="inlineStr">
        <is>
          <t>YG2507001</t>
        </is>
      </c>
      <c r="C6" s="4" t="inlineStr">
        <is>
          <t>拼接：YG + 2507 + 001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  <col width="8" customWidth="1" min="8" max="8"/>
    <col width="14" customWidth="1" min="9" max="9"/>
    <col width="14" customWidth="1" min="10" max="10"/>
    <col width="14" customWidth="1" min="11" max="11"/>
    <col width="10" customWidth="1" min="12" max="12"/>
    <col width="14" customWidth="1" min="13" max="13"/>
    <col width="20" customWidth="1" min="14" max="14"/>
  </cols>
  <sheetData>
    <row r="1">
      <c r="A1" s="3" t="inlineStr">
        <is>
          <t>入库单号</t>
        </is>
      </c>
      <c r="B1" s="3" t="inlineStr">
        <is>
          <t>日期</t>
        </is>
      </c>
      <c r="C1" s="3" t="inlineStr">
        <is>
          <t>货品编号</t>
        </is>
      </c>
      <c r="D1" s="3" t="inlineStr">
        <is>
          <t>货品名称</t>
        </is>
      </c>
      <c r="E1" s="3" t="inlineStr">
        <is>
          <t>品类</t>
        </is>
      </c>
      <c r="F1" s="3" t="inlineStr">
        <is>
          <t>材质/规格</t>
        </is>
      </c>
      <c r="G1" s="3" t="inlineStr">
        <is>
          <t>重量(g)</t>
        </is>
      </c>
      <c r="H1" s="3" t="inlineStr">
        <is>
          <t>数量</t>
        </is>
      </c>
      <c r="I1" s="3" t="inlineStr">
        <is>
          <t>成本价(卢比)</t>
        </is>
      </c>
      <c r="J1" s="3" t="inlineStr">
        <is>
          <t>成本价(人民币)</t>
        </is>
      </c>
      <c r="K1" s="3" t="inlineStr">
        <is>
          <t>供应商</t>
        </is>
      </c>
      <c r="L1" s="3" t="inlineStr">
        <is>
          <t>入库人</t>
        </is>
      </c>
      <c r="M1" s="3" t="inlineStr">
        <is>
          <t>照片命名</t>
        </is>
      </c>
      <c r="N1" s="3" t="inlineStr">
        <is>
          <t>备注</t>
        </is>
      </c>
    </row>
    <row r="2">
      <c r="A2" s="4" t="inlineStr">
        <is>
          <t>RK2507001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4" t="inlineStr">
        <is>
          <t>RK2507002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>
      <c r="A4" s="4" t="inlineStr">
        <is>
          <t>RK2507003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4" t="inlineStr">
        <is>
          <t>RK2507004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4" t="inlineStr">
        <is>
          <t>RK2507005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4" t="inlineStr">
        <is>
          <t>RK2507006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4" t="inlineStr">
        <is>
          <t>RK2507007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4" t="inlineStr">
        <is>
          <t>RK2507008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4" t="inlineStr">
        <is>
          <t>RK2507009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4" t="inlineStr">
        <is>
          <t>RK2507010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4" t="inlineStr">
        <is>
          <t>RK2507011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4" t="inlineStr">
        <is>
          <t>RK2507012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inlineStr">
        <is>
          <t>RK2507013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4" t="inlineStr">
        <is>
          <t>RK2507014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</row>
    <row r="16">
      <c r="A16" s="4" t="inlineStr">
        <is>
          <t>RK2507015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4" t="inlineStr">
        <is>
          <t>RK2507016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</row>
    <row r="18">
      <c r="A18" s="4" t="inlineStr">
        <is>
          <t>RK2507017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4" t="inlineStr">
        <is>
          <t>RK2507018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4" t="inlineStr">
        <is>
          <t>RK2507019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4" t="inlineStr">
        <is>
          <t>RK2507020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4" t="inlineStr">
        <is>
          <t>RK2507021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4" t="inlineStr">
        <is>
          <t>RK2507022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4" t="inlineStr">
        <is>
          <t>RK2507023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4" t="inlineStr">
        <is>
          <t>RK2507024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4" t="inlineStr">
        <is>
          <t>RK2507025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4" t="inlineStr">
        <is>
          <t>RK2507026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</row>
    <row r="28">
      <c r="A28" s="4" t="inlineStr">
        <is>
          <t>RK2507027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4" t="inlineStr">
        <is>
          <t>RK2507028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</row>
    <row r="30">
      <c r="A30" s="4" t="inlineStr">
        <is>
          <t>RK2507029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4" t="inlineStr">
        <is>
          <t>RK2507030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>
      <c r="A32" s="4" t="inlineStr">
        <is>
          <t>RK2507031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4" t="inlineStr">
        <is>
          <t>RK2507032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</row>
    <row r="34">
      <c r="A34" s="4" t="inlineStr">
        <is>
          <t>RK2507033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4" t="inlineStr">
        <is>
          <t>RK2507034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</row>
    <row r="36">
      <c r="A36" s="4" t="inlineStr">
        <is>
          <t>RK2507035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4" t="inlineStr">
        <is>
          <t>RK2507036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</row>
    <row r="38">
      <c r="A38" s="4" t="inlineStr">
        <is>
          <t>RK2507037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4" t="inlineStr">
        <is>
          <t>RK2507038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</row>
    <row r="40">
      <c r="A40" s="4" t="inlineStr">
        <is>
          <t>RK2507039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4" t="inlineStr">
        <is>
          <t>RK2507040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</row>
    <row r="42">
      <c r="A42" s="4" t="inlineStr">
        <is>
          <t>RK2507041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</row>
    <row r="43">
      <c r="A43" s="4" t="inlineStr">
        <is>
          <t>RK2507042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</row>
    <row r="44">
      <c r="A44" s="4" t="inlineStr">
        <is>
          <t>RK2507043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</row>
    <row r="45">
      <c r="A45" s="4" t="inlineStr">
        <is>
          <t>RK2507044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</row>
    <row r="46">
      <c r="A46" s="4" t="inlineStr">
        <is>
          <t>RK2507045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4" t="inlineStr">
        <is>
          <t>RK2507046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</row>
    <row r="48">
      <c r="A48" s="4" t="inlineStr">
        <is>
          <t>RK2507047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4" t="inlineStr">
        <is>
          <t>RK2507048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</row>
    <row r="50">
      <c r="A50" s="4" t="inlineStr">
        <is>
          <t>RK2507049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4" t="inlineStr">
        <is>
          <t>RK2507050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14" customWidth="1" min="5" max="5"/>
    <col width="12" customWidth="1" min="6" max="6"/>
    <col width="14" customWidth="1" min="7" max="7"/>
    <col width="10" customWidth="1" min="8" max="8"/>
    <col width="14" customWidth="1" min="9" max="9"/>
    <col width="16" customWidth="1" min="10" max="10"/>
    <col width="20" customWidth="1" min="11" max="11"/>
  </cols>
  <sheetData>
    <row r="1">
      <c r="A1" s="3" t="inlineStr">
        <is>
          <t>出库单号</t>
        </is>
      </c>
      <c r="B1" s="3" t="inlineStr">
        <is>
          <t>日期</t>
        </is>
      </c>
      <c r="C1" s="3" t="inlineStr">
        <is>
          <t>货品编号</t>
        </is>
      </c>
      <c r="D1" s="3" t="inlineStr">
        <is>
          <t>数量</t>
        </is>
      </c>
      <c r="E1" s="3" t="inlineStr">
        <is>
          <t>客户名</t>
        </is>
      </c>
      <c r="F1" s="3" t="inlineStr">
        <is>
          <t>订单号</t>
        </is>
      </c>
      <c r="G1" s="3" t="inlineStr">
        <is>
          <t>售价(人民币)</t>
        </is>
      </c>
      <c r="H1" s="3" t="inlineStr">
        <is>
          <t>出库人</t>
        </is>
      </c>
      <c r="I1" s="3" t="inlineStr">
        <is>
          <t>复核人(必填)</t>
        </is>
      </c>
      <c r="J1" s="3" t="inlineStr">
        <is>
          <t>装箱视频(已发Y/N)</t>
        </is>
      </c>
      <c r="K1" s="3" t="inlineStr">
        <is>
          <t>备注</t>
        </is>
      </c>
    </row>
    <row r="2">
      <c r="A2" s="4" t="inlineStr">
        <is>
          <t>CK2507001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CK2507002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CK2507003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CK2507004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CK2507005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CK2507006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CK2507007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CK2507008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CK2507009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CK2507010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CK2507011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CK2507012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CK2507013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CK2507014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CK2507015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CK2507016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CK2507017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CK2507018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CK2507019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CK2507020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CK2507021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CK2507022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CK2507023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CK2507024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CK2507025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CK2507026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CK2507027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CK2507028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CK2507029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CK2507030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CK2507031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CK2507032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CK2507033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CK2507034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CK2507035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CK2507036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CK2507037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CK2507038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CK2507039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CK2507040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CK2507041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CK2507042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CK2507043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CK2507044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CK2507045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CK2507046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CK2507047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CK2507048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CK2507049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CK2507050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0" customWidth="1" min="5" max="5"/>
    <col width="40" customWidth="1" min="6" max="6"/>
    <col width="10" customWidth="1" min="7" max="7"/>
    <col width="14" customWidth="1" min="8" max="8"/>
    <col width="20" customWidth="1" min="9" max="9"/>
  </cols>
  <sheetData>
    <row r="1">
      <c r="A1" s="3" t="inlineStr">
        <is>
          <t>分货单号</t>
        </is>
      </c>
      <c r="B1" s="3" t="inlineStr">
        <is>
          <t>日期</t>
        </is>
      </c>
      <c r="C1" s="3" t="inlineStr">
        <is>
          <t>来源入库单</t>
        </is>
      </c>
      <c r="D1" s="3" t="inlineStr">
        <is>
          <t>货品编号</t>
        </is>
      </c>
      <c r="E1" s="3" t="inlineStr">
        <is>
          <t>总数量</t>
        </is>
      </c>
      <c r="F1" s="3" t="inlineStr">
        <is>
          <t>拆分明细(客户:数量;客户:数量)</t>
        </is>
      </c>
      <c r="G1" s="3" t="inlineStr">
        <is>
          <t>操作人</t>
        </is>
      </c>
      <c r="H1" s="3" t="inlineStr">
        <is>
          <t>复核人(必填)</t>
        </is>
      </c>
      <c r="I1" s="3" t="inlineStr">
        <is>
          <t>备注</t>
        </is>
      </c>
    </row>
    <row r="2">
      <c r="A2" s="4" t="inlineStr">
        <is>
          <t>FG2507001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  <row r="3">
      <c r="A3" s="4" t="inlineStr">
        <is>
          <t>FG2507002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4" t="inlineStr">
        <is>
          <t>FG2507003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>
        <is>
          <t>FG2507004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>
        <is>
          <t>FG2507005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>
        <is>
          <t>FG2507006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>
        <is>
          <t>FG2507007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>
        <is>
          <t>FG2507008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>
        <is>
          <t>FG2507009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>
        <is>
          <t>FG2507010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>
        <is>
          <t>FG2507011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>
        <is>
          <t>FG2507012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>
        <is>
          <t>FG2507013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>
        <is>
          <t>FG2507014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>
        <is>
          <t>FG2507015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>
        <is>
          <t>FG2507016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>
        <is>
          <t>FG2507017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>
        <is>
          <t>FG2507018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>
        <is>
          <t>FG2507019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>
        <is>
          <t>FG2507020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>
        <is>
          <t>FG2507021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>
        <is>
          <t>FG2507022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>
        <is>
          <t>FG2507023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>
        <is>
          <t>FG2507024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>
        <is>
          <t>FG2507025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>
        <is>
          <t>FG2507026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>
        <is>
          <t>FG2507027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>
        <is>
          <t>FG2507028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inlineStr">
        <is>
          <t>FG2507029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inlineStr">
        <is>
          <t>FG2507030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20" customWidth="1" min="9" max="9"/>
  </cols>
  <sheetData>
    <row r="1">
      <c r="A1" s="3" t="inlineStr">
        <is>
          <t>货品编号</t>
        </is>
      </c>
      <c r="B1" s="3" t="inlineStr">
        <is>
          <t>货品名称</t>
        </is>
      </c>
      <c r="C1" s="3" t="inlineStr">
        <is>
          <t>品类</t>
        </is>
      </c>
      <c r="D1" s="3" t="inlineStr">
        <is>
          <t>入库总量</t>
        </is>
      </c>
      <c r="E1" s="3" t="inlineStr">
        <is>
          <t>出库总量</t>
        </is>
      </c>
      <c r="F1" s="3" t="inlineStr">
        <is>
          <t>当前库存</t>
        </is>
      </c>
      <c r="G1" s="3" t="inlineStr">
        <is>
          <t>当前库存重量(g)</t>
        </is>
      </c>
      <c r="H1" s="3" t="inlineStr">
        <is>
          <t>库存状态</t>
        </is>
      </c>
      <c r="I1" s="3" t="inlineStr">
        <is>
          <t>备注</t>
        </is>
      </c>
    </row>
    <row r="2">
      <c r="A2" s="4">
        <f>IF(入库登记!C2="","",入库登记!C2)</f>
        <v/>
      </c>
      <c r="B2" s="4">
        <f>IF(入库登记!C2="","",入库登记!D2)</f>
        <v/>
      </c>
      <c r="C2" s="4">
        <f>IF(入库登记!C2="","",入库登记!E2)</f>
        <v/>
      </c>
      <c r="D2" s="4">
        <f>IF(入库登记!C2="",0,入库登记!H2)</f>
        <v/>
      </c>
      <c r="E2" s="4">
        <f>IF(入库登记!C2="","",SUMIF(出库登记!$C$2:$C$51,入库登记!C2,出库登记!$D$2:$D$51))</f>
        <v/>
      </c>
      <c r="F2" s="4">
        <f>IF(入库登记!C2="","",入库登记!H2-SUMIF(出库登记!$C$2:$C$51,入库登记!C2,出库登记!$D$2:$D$51))</f>
        <v/>
      </c>
      <c r="G2" s="4">
        <f>IF(入库登记!C2="","",入库登记!G2*(入库登记!H2-SUMIF(出库登记!$C$2:$C$51,入库登记!C2,出库登记!$D$2:$D$51)))</f>
        <v/>
      </c>
      <c r="H2" s="4">
        <f>IF(入库登记!C2="","",IF((入库登记!H2-SUMIF(出库登记!$C$2:$C$51,入库登记!C2,出库登记!$D$2:$D$51))&lt;=0,"缺货",IF((入库登记!H2-SUMIF(出库登记!$C$2:$C$51,入库登记!C2,出库登记!$D$2:$D$51))&lt;5,"紧张","充足")))</f>
        <v/>
      </c>
      <c r="I2" s="4" t="inlineStr"/>
    </row>
    <row r="3">
      <c r="A3" s="4">
        <f>IF(入库登记!C3="","",入库登记!C3)</f>
        <v/>
      </c>
      <c r="B3" s="4">
        <f>IF(入库登记!C3="","",入库登记!D3)</f>
        <v/>
      </c>
      <c r="C3" s="4">
        <f>IF(入库登记!C3="","",入库登记!E3)</f>
        <v/>
      </c>
      <c r="D3" s="4">
        <f>IF(入库登记!C3="",0,入库登记!H3)</f>
        <v/>
      </c>
      <c r="E3" s="4">
        <f>IF(入库登记!C3="","",SUMIF(出库登记!$C$2:$C$51,入库登记!C3,出库登记!$D$2:$D$51))</f>
        <v/>
      </c>
      <c r="F3" s="4">
        <f>IF(入库登记!C3="","",入库登记!H3-SUMIF(出库登记!$C$2:$C$51,入库登记!C3,出库登记!$D$2:$D$51))</f>
        <v/>
      </c>
      <c r="G3" s="4">
        <f>IF(入库登记!C3="","",入库登记!G3*(入库登记!H3-SUMIF(出库登记!$C$2:$C$51,入库登记!C3,出库登记!$D$2:$D$51)))</f>
        <v/>
      </c>
      <c r="H3" s="4">
        <f>IF(入库登记!C3="","",IF((入库登记!H3-SUMIF(出库登记!$C$2:$C$51,入库登记!C3,出库登记!$D$2:$D$51))&lt;=0,"缺货",IF((入库登记!H3-SUMIF(出库登记!$C$2:$C$51,入库登记!C3,出库登记!$D$2:$D$51))&lt;5,"紧张","充足")))</f>
        <v/>
      </c>
      <c r="I3" s="4" t="inlineStr"/>
    </row>
    <row r="4">
      <c r="A4" s="4">
        <f>IF(入库登记!C4="","",入库登记!C4)</f>
        <v/>
      </c>
      <c r="B4" s="4">
        <f>IF(入库登记!C4="","",入库登记!D4)</f>
        <v/>
      </c>
      <c r="C4" s="4">
        <f>IF(入库登记!C4="","",入库登记!E4)</f>
        <v/>
      </c>
      <c r="D4" s="4">
        <f>IF(入库登记!C4="",0,入库登记!H4)</f>
        <v/>
      </c>
      <c r="E4" s="4">
        <f>IF(入库登记!C4="","",SUMIF(出库登记!$C$2:$C$51,入库登记!C4,出库登记!$D$2:$D$51))</f>
        <v/>
      </c>
      <c r="F4" s="4">
        <f>IF(入库登记!C4="","",入库登记!H4-SUMIF(出库登记!$C$2:$C$51,入库登记!C4,出库登记!$D$2:$D$51))</f>
        <v/>
      </c>
      <c r="G4" s="4">
        <f>IF(入库登记!C4="","",入库登记!G4*(入库登记!H4-SUMIF(出库登记!$C$2:$C$51,入库登记!C4,出库登记!$D$2:$D$51)))</f>
        <v/>
      </c>
      <c r="H4" s="4">
        <f>IF(入库登记!C4="","",IF((入库登记!H4-SUMIF(出库登记!$C$2:$C$51,入库登记!C4,出库登记!$D$2:$D$51))&lt;=0,"缺货",IF((入库登记!H4-SUMIF(出库登记!$C$2:$C$51,入库登记!C4,出库登记!$D$2:$D$51))&lt;5,"紧张","充足")))</f>
        <v/>
      </c>
      <c r="I4" s="4" t="inlineStr"/>
    </row>
    <row r="5">
      <c r="A5" s="4">
        <f>IF(入库登记!C5="","",入库登记!C5)</f>
        <v/>
      </c>
      <c r="B5" s="4">
        <f>IF(入库登记!C5="","",入库登记!D5)</f>
        <v/>
      </c>
      <c r="C5" s="4">
        <f>IF(入库登记!C5="","",入库登记!E5)</f>
        <v/>
      </c>
      <c r="D5" s="4">
        <f>IF(入库登记!C5="",0,入库登记!H5)</f>
        <v/>
      </c>
      <c r="E5" s="4">
        <f>IF(入库登记!C5="","",SUMIF(出库登记!$C$2:$C$51,入库登记!C5,出库登记!$D$2:$D$51))</f>
        <v/>
      </c>
      <c r="F5" s="4">
        <f>IF(入库登记!C5="","",入库登记!H5-SUMIF(出库登记!$C$2:$C$51,入库登记!C5,出库登记!$D$2:$D$51))</f>
        <v/>
      </c>
      <c r="G5" s="4">
        <f>IF(入库登记!C5="","",入库登记!G5*(入库登记!H5-SUMIF(出库登记!$C$2:$C$51,入库登记!C5,出库登记!$D$2:$D$51)))</f>
        <v/>
      </c>
      <c r="H5" s="4">
        <f>IF(入库登记!C5="","",IF((入库登记!H5-SUMIF(出库登记!$C$2:$C$51,入库登记!C5,出库登记!$D$2:$D$51))&lt;=0,"缺货",IF((入库登记!H5-SUMIF(出库登记!$C$2:$C$51,入库登记!C5,出库登记!$D$2:$D$51))&lt;5,"紧张","充足")))</f>
        <v/>
      </c>
      <c r="I5" s="4" t="inlineStr"/>
    </row>
    <row r="6">
      <c r="A6" s="4">
        <f>IF(入库登记!C6="","",入库登记!C6)</f>
        <v/>
      </c>
      <c r="B6" s="4">
        <f>IF(入库登记!C6="","",入库登记!D6)</f>
        <v/>
      </c>
      <c r="C6" s="4">
        <f>IF(入库登记!C6="","",入库登记!E6)</f>
        <v/>
      </c>
      <c r="D6" s="4">
        <f>IF(入库登记!C6="",0,入库登记!H6)</f>
        <v/>
      </c>
      <c r="E6" s="4">
        <f>IF(入库登记!C6="","",SUMIF(出库登记!$C$2:$C$51,入库登记!C6,出库登记!$D$2:$D$51))</f>
        <v/>
      </c>
      <c r="F6" s="4">
        <f>IF(入库登记!C6="","",入库登记!H6-SUMIF(出库登记!$C$2:$C$51,入库登记!C6,出库登记!$D$2:$D$51))</f>
        <v/>
      </c>
      <c r="G6" s="4">
        <f>IF(入库登记!C6="","",入库登记!G6*(入库登记!H6-SUMIF(出库登记!$C$2:$C$51,入库登记!C6,出库登记!$D$2:$D$51)))</f>
        <v/>
      </c>
      <c r="H6" s="4">
        <f>IF(入库登记!C6="","",IF((入库登记!H6-SUMIF(出库登记!$C$2:$C$51,入库登记!C6,出库登记!$D$2:$D$51))&lt;=0,"缺货",IF((入库登记!H6-SUMIF(出库登记!$C$2:$C$51,入库登记!C6,出库登记!$D$2:$D$51))&lt;5,"紧张","充足")))</f>
        <v/>
      </c>
      <c r="I6" s="4" t="inlineStr"/>
    </row>
    <row r="7">
      <c r="A7" s="4">
        <f>IF(入库登记!C7="","",入库登记!C7)</f>
        <v/>
      </c>
      <c r="B7" s="4">
        <f>IF(入库登记!C7="","",入库登记!D7)</f>
        <v/>
      </c>
      <c r="C7" s="4">
        <f>IF(入库登记!C7="","",入库登记!E7)</f>
        <v/>
      </c>
      <c r="D7" s="4">
        <f>IF(入库登记!C7="",0,入库登记!H7)</f>
        <v/>
      </c>
      <c r="E7" s="4">
        <f>IF(入库登记!C7="","",SUMIF(出库登记!$C$2:$C$51,入库登记!C7,出库登记!$D$2:$D$51))</f>
        <v/>
      </c>
      <c r="F7" s="4">
        <f>IF(入库登记!C7="","",入库登记!H7-SUMIF(出库登记!$C$2:$C$51,入库登记!C7,出库登记!$D$2:$D$51))</f>
        <v/>
      </c>
      <c r="G7" s="4">
        <f>IF(入库登记!C7="","",入库登记!G7*(入库登记!H7-SUMIF(出库登记!$C$2:$C$51,入库登记!C7,出库登记!$D$2:$D$51)))</f>
        <v/>
      </c>
      <c r="H7" s="4">
        <f>IF(入库登记!C7="","",IF((入库登记!H7-SUMIF(出库登记!$C$2:$C$51,入库登记!C7,出库登记!$D$2:$D$51))&lt;=0,"缺货",IF((入库登记!H7-SUMIF(出库登记!$C$2:$C$51,入库登记!C7,出库登记!$D$2:$D$51))&lt;5,"紧张","充足")))</f>
        <v/>
      </c>
      <c r="I7" s="4" t="inlineStr"/>
    </row>
    <row r="8">
      <c r="A8" s="4">
        <f>IF(入库登记!C8="","",入库登记!C8)</f>
        <v/>
      </c>
      <c r="B8" s="4">
        <f>IF(入库登记!C8="","",入库登记!D8)</f>
        <v/>
      </c>
      <c r="C8" s="4">
        <f>IF(入库登记!C8="","",入库登记!E8)</f>
        <v/>
      </c>
      <c r="D8" s="4">
        <f>IF(入库登记!C8="",0,入库登记!H8)</f>
        <v/>
      </c>
      <c r="E8" s="4">
        <f>IF(入库登记!C8="","",SUMIF(出库登记!$C$2:$C$51,入库登记!C8,出库登记!$D$2:$D$51))</f>
        <v/>
      </c>
      <c r="F8" s="4">
        <f>IF(入库登记!C8="","",入库登记!H8-SUMIF(出库登记!$C$2:$C$51,入库登记!C8,出库登记!$D$2:$D$51))</f>
        <v/>
      </c>
      <c r="G8" s="4">
        <f>IF(入库登记!C8="","",入库登记!G8*(入库登记!H8-SUMIF(出库登记!$C$2:$C$51,入库登记!C8,出库登记!$D$2:$D$51)))</f>
        <v/>
      </c>
      <c r="H8" s="4">
        <f>IF(入库登记!C8="","",IF((入库登记!H8-SUMIF(出库登记!$C$2:$C$51,入库登记!C8,出库登记!$D$2:$D$51))&lt;=0,"缺货",IF((入库登记!H8-SUMIF(出库登记!$C$2:$C$51,入库登记!C8,出库登记!$D$2:$D$51))&lt;5,"紧张","充足")))</f>
        <v/>
      </c>
      <c r="I8" s="4" t="inlineStr"/>
    </row>
    <row r="9">
      <c r="A9" s="4">
        <f>IF(入库登记!C9="","",入库登记!C9)</f>
        <v/>
      </c>
      <c r="B9" s="4">
        <f>IF(入库登记!C9="","",入库登记!D9)</f>
        <v/>
      </c>
      <c r="C9" s="4">
        <f>IF(入库登记!C9="","",入库登记!E9)</f>
        <v/>
      </c>
      <c r="D9" s="4">
        <f>IF(入库登记!C9="",0,入库登记!H9)</f>
        <v/>
      </c>
      <c r="E9" s="4">
        <f>IF(入库登记!C9="","",SUMIF(出库登记!$C$2:$C$51,入库登记!C9,出库登记!$D$2:$D$51))</f>
        <v/>
      </c>
      <c r="F9" s="4">
        <f>IF(入库登记!C9="","",入库登记!H9-SUMIF(出库登记!$C$2:$C$51,入库登记!C9,出库登记!$D$2:$D$51))</f>
        <v/>
      </c>
      <c r="G9" s="4">
        <f>IF(入库登记!C9="","",入库登记!G9*(入库登记!H9-SUMIF(出库登记!$C$2:$C$51,入库登记!C9,出库登记!$D$2:$D$51)))</f>
        <v/>
      </c>
      <c r="H9" s="4">
        <f>IF(入库登记!C9="","",IF((入库登记!H9-SUMIF(出库登记!$C$2:$C$51,入库登记!C9,出库登记!$D$2:$D$51))&lt;=0,"缺货",IF((入库登记!H9-SUMIF(出库登记!$C$2:$C$51,入库登记!C9,出库登记!$D$2:$D$51))&lt;5,"紧张","充足")))</f>
        <v/>
      </c>
      <c r="I9" s="4" t="inlineStr"/>
    </row>
    <row r="10">
      <c r="A10" s="4">
        <f>IF(入库登记!C10="","",入库登记!C10)</f>
        <v/>
      </c>
      <c r="B10" s="4">
        <f>IF(入库登记!C10="","",入库登记!D10)</f>
        <v/>
      </c>
      <c r="C10" s="4">
        <f>IF(入库登记!C10="","",入库登记!E10)</f>
        <v/>
      </c>
      <c r="D10" s="4">
        <f>IF(入库登记!C10="",0,入库登记!H10)</f>
        <v/>
      </c>
      <c r="E10" s="4">
        <f>IF(入库登记!C10="","",SUMIF(出库登记!$C$2:$C$51,入库登记!C10,出库登记!$D$2:$D$51))</f>
        <v/>
      </c>
      <c r="F10" s="4">
        <f>IF(入库登记!C10="","",入库登记!H10-SUMIF(出库登记!$C$2:$C$51,入库登记!C10,出库登记!$D$2:$D$51))</f>
        <v/>
      </c>
      <c r="G10" s="4">
        <f>IF(入库登记!C10="","",入库登记!G10*(入库登记!H10-SUMIF(出库登记!$C$2:$C$51,入库登记!C10,出库登记!$D$2:$D$51)))</f>
        <v/>
      </c>
      <c r="H10" s="4">
        <f>IF(入库登记!C10="","",IF((入库登记!H10-SUMIF(出库登记!$C$2:$C$51,入库登记!C10,出库登记!$D$2:$D$51))&lt;=0,"缺货",IF((入库登记!H10-SUMIF(出库登记!$C$2:$C$51,入库登记!C10,出库登记!$D$2:$D$51))&lt;5,"紧张","充足")))</f>
        <v/>
      </c>
      <c r="I10" s="4" t="inlineStr"/>
    </row>
    <row r="11">
      <c r="A11" s="4">
        <f>IF(入库登记!C11="","",入库登记!C11)</f>
        <v/>
      </c>
      <c r="B11" s="4">
        <f>IF(入库登记!C11="","",入库登记!D11)</f>
        <v/>
      </c>
      <c r="C11" s="4">
        <f>IF(入库登记!C11="","",入库登记!E11)</f>
        <v/>
      </c>
      <c r="D11" s="4">
        <f>IF(入库登记!C11="",0,入库登记!H11)</f>
        <v/>
      </c>
      <c r="E11" s="4">
        <f>IF(入库登记!C11="","",SUMIF(出库登记!$C$2:$C$51,入库登记!C11,出库登记!$D$2:$D$51))</f>
        <v/>
      </c>
      <c r="F11" s="4">
        <f>IF(入库登记!C11="","",入库登记!H11-SUMIF(出库登记!$C$2:$C$51,入库登记!C11,出库登记!$D$2:$D$51))</f>
        <v/>
      </c>
      <c r="G11" s="4">
        <f>IF(入库登记!C11="","",入库登记!G11*(入库登记!H11-SUMIF(出库登记!$C$2:$C$51,入库登记!C11,出库登记!$D$2:$D$51)))</f>
        <v/>
      </c>
      <c r="H11" s="4">
        <f>IF(入库登记!C11="","",IF((入库登记!H11-SUMIF(出库登记!$C$2:$C$51,入库登记!C11,出库登记!$D$2:$D$51))&lt;=0,"缺货",IF((入库登记!H11-SUMIF(出库登记!$C$2:$C$51,入库登记!C11,出库登记!$D$2:$D$51))&lt;5,"紧张","充足")))</f>
        <v/>
      </c>
      <c r="I11" s="4" t="inlineStr"/>
    </row>
    <row r="12">
      <c r="A12" s="4">
        <f>IF(入库登记!C12="","",入库登记!C12)</f>
        <v/>
      </c>
      <c r="B12" s="4">
        <f>IF(入库登记!C12="","",入库登记!D12)</f>
        <v/>
      </c>
      <c r="C12" s="4">
        <f>IF(入库登记!C12="","",入库登记!E12)</f>
        <v/>
      </c>
      <c r="D12" s="4">
        <f>IF(入库登记!C12="",0,入库登记!H12)</f>
        <v/>
      </c>
      <c r="E12" s="4">
        <f>IF(入库登记!C12="","",SUMIF(出库登记!$C$2:$C$51,入库登记!C12,出库登记!$D$2:$D$51))</f>
        <v/>
      </c>
      <c r="F12" s="4">
        <f>IF(入库登记!C12="","",入库登记!H12-SUMIF(出库登记!$C$2:$C$51,入库登记!C12,出库登记!$D$2:$D$51))</f>
        <v/>
      </c>
      <c r="G12" s="4">
        <f>IF(入库登记!C12="","",入库登记!G12*(入库登记!H12-SUMIF(出库登记!$C$2:$C$51,入库登记!C12,出库登记!$D$2:$D$51)))</f>
        <v/>
      </c>
      <c r="H12" s="4">
        <f>IF(入库登记!C12="","",IF((入库登记!H12-SUMIF(出库登记!$C$2:$C$51,入库登记!C12,出库登记!$D$2:$D$51))&lt;=0,"缺货",IF((入库登记!H12-SUMIF(出库登记!$C$2:$C$51,入库登记!C12,出库登记!$D$2:$D$51))&lt;5,"紧张","充足")))</f>
        <v/>
      </c>
      <c r="I12" s="4" t="inlineStr"/>
    </row>
    <row r="13">
      <c r="A13" s="4">
        <f>IF(入库登记!C13="","",入库登记!C13)</f>
        <v/>
      </c>
      <c r="B13" s="4">
        <f>IF(入库登记!C13="","",入库登记!D13)</f>
        <v/>
      </c>
      <c r="C13" s="4">
        <f>IF(入库登记!C13="","",入库登记!E13)</f>
        <v/>
      </c>
      <c r="D13" s="4">
        <f>IF(入库登记!C13="",0,入库登记!H13)</f>
        <v/>
      </c>
      <c r="E13" s="4">
        <f>IF(入库登记!C13="","",SUMIF(出库登记!$C$2:$C$51,入库登记!C13,出库登记!$D$2:$D$51))</f>
        <v/>
      </c>
      <c r="F13" s="4">
        <f>IF(入库登记!C13="","",入库登记!H13-SUMIF(出库登记!$C$2:$C$51,入库登记!C13,出库登记!$D$2:$D$51))</f>
        <v/>
      </c>
      <c r="G13" s="4">
        <f>IF(入库登记!C13="","",入库登记!G13*(入库登记!H13-SUMIF(出库登记!$C$2:$C$51,入库登记!C13,出库登记!$D$2:$D$51)))</f>
        <v/>
      </c>
      <c r="H13" s="4">
        <f>IF(入库登记!C13="","",IF((入库登记!H13-SUMIF(出库登记!$C$2:$C$51,入库登记!C13,出库登记!$D$2:$D$51))&lt;=0,"缺货",IF((入库登记!H13-SUMIF(出库登记!$C$2:$C$51,入库登记!C13,出库登记!$D$2:$D$51))&lt;5,"紧张","充足")))</f>
        <v/>
      </c>
      <c r="I13" s="4" t="inlineStr"/>
    </row>
    <row r="14">
      <c r="A14" s="4">
        <f>IF(入库登记!C14="","",入库登记!C14)</f>
        <v/>
      </c>
      <c r="B14" s="4">
        <f>IF(入库登记!C14="","",入库登记!D14)</f>
        <v/>
      </c>
      <c r="C14" s="4">
        <f>IF(入库登记!C14="","",入库登记!E14)</f>
        <v/>
      </c>
      <c r="D14" s="4">
        <f>IF(入库登记!C14="",0,入库登记!H14)</f>
        <v/>
      </c>
      <c r="E14" s="4">
        <f>IF(入库登记!C14="","",SUMIF(出库登记!$C$2:$C$51,入库登记!C14,出库登记!$D$2:$D$51))</f>
        <v/>
      </c>
      <c r="F14" s="4">
        <f>IF(入库登记!C14="","",入库登记!H14-SUMIF(出库登记!$C$2:$C$51,入库登记!C14,出库登记!$D$2:$D$51))</f>
        <v/>
      </c>
      <c r="G14" s="4">
        <f>IF(入库登记!C14="","",入库登记!G14*(入库登记!H14-SUMIF(出库登记!$C$2:$C$51,入库登记!C14,出库登记!$D$2:$D$51)))</f>
        <v/>
      </c>
      <c r="H14" s="4">
        <f>IF(入库登记!C14="","",IF((入库登记!H14-SUMIF(出库登记!$C$2:$C$51,入库登记!C14,出库登记!$D$2:$D$51))&lt;=0,"缺货",IF((入库登记!H14-SUMIF(出库登记!$C$2:$C$51,入库登记!C14,出库登记!$D$2:$D$51))&lt;5,"紧张","充足")))</f>
        <v/>
      </c>
      <c r="I14" s="4" t="inlineStr"/>
    </row>
    <row r="15">
      <c r="A15" s="4">
        <f>IF(入库登记!C15="","",入库登记!C15)</f>
        <v/>
      </c>
      <c r="B15" s="4">
        <f>IF(入库登记!C15="","",入库登记!D15)</f>
        <v/>
      </c>
      <c r="C15" s="4">
        <f>IF(入库登记!C15="","",入库登记!E15)</f>
        <v/>
      </c>
      <c r="D15" s="4">
        <f>IF(入库登记!C15="",0,入库登记!H15)</f>
        <v/>
      </c>
      <c r="E15" s="4">
        <f>IF(入库登记!C15="","",SUMIF(出库登记!$C$2:$C$51,入库登记!C15,出库登记!$D$2:$D$51))</f>
        <v/>
      </c>
      <c r="F15" s="4">
        <f>IF(入库登记!C15="","",入库登记!H15-SUMIF(出库登记!$C$2:$C$51,入库登记!C15,出库登记!$D$2:$D$51))</f>
        <v/>
      </c>
      <c r="G15" s="4">
        <f>IF(入库登记!C15="","",入库登记!G15*(入库登记!H15-SUMIF(出库登记!$C$2:$C$51,入库登记!C15,出库登记!$D$2:$D$51)))</f>
        <v/>
      </c>
      <c r="H15" s="4">
        <f>IF(入库登记!C15="","",IF((入库登记!H15-SUMIF(出库登记!$C$2:$C$51,入库登记!C15,出库登记!$D$2:$D$51))&lt;=0,"缺货",IF((入库登记!H15-SUMIF(出库登记!$C$2:$C$51,入库登记!C15,出库登记!$D$2:$D$51))&lt;5,"紧张","充足")))</f>
        <v/>
      </c>
      <c r="I15" s="4" t="inlineStr"/>
    </row>
    <row r="16">
      <c r="A16" s="4">
        <f>IF(入库登记!C16="","",入库登记!C16)</f>
        <v/>
      </c>
      <c r="B16" s="4">
        <f>IF(入库登记!C16="","",入库登记!D16)</f>
        <v/>
      </c>
      <c r="C16" s="4">
        <f>IF(入库登记!C16="","",入库登记!E16)</f>
        <v/>
      </c>
      <c r="D16" s="4">
        <f>IF(入库登记!C16="",0,入库登记!H16)</f>
        <v/>
      </c>
      <c r="E16" s="4">
        <f>IF(入库登记!C16="","",SUMIF(出库登记!$C$2:$C$51,入库登记!C16,出库登记!$D$2:$D$51))</f>
        <v/>
      </c>
      <c r="F16" s="4">
        <f>IF(入库登记!C16="","",入库登记!H16-SUMIF(出库登记!$C$2:$C$51,入库登记!C16,出库登记!$D$2:$D$51))</f>
        <v/>
      </c>
      <c r="G16" s="4">
        <f>IF(入库登记!C16="","",入库登记!G16*(入库登记!H16-SUMIF(出库登记!$C$2:$C$51,入库登记!C16,出库登记!$D$2:$D$51)))</f>
        <v/>
      </c>
      <c r="H16" s="4">
        <f>IF(入库登记!C16="","",IF((入库登记!H16-SUMIF(出库登记!$C$2:$C$51,入库登记!C16,出库登记!$D$2:$D$51))&lt;=0,"缺货",IF((入库登记!H16-SUMIF(出库登记!$C$2:$C$51,入库登记!C16,出库登记!$D$2:$D$51))&lt;5,"紧张","充足")))</f>
        <v/>
      </c>
      <c r="I16" s="4" t="inlineStr"/>
    </row>
    <row r="17">
      <c r="A17" s="4">
        <f>IF(入库登记!C17="","",入库登记!C17)</f>
        <v/>
      </c>
      <c r="B17" s="4">
        <f>IF(入库登记!C17="","",入库登记!D17)</f>
        <v/>
      </c>
      <c r="C17" s="4">
        <f>IF(入库登记!C17="","",入库登记!E17)</f>
        <v/>
      </c>
      <c r="D17" s="4">
        <f>IF(入库登记!C17="",0,入库登记!H17)</f>
        <v/>
      </c>
      <c r="E17" s="4">
        <f>IF(入库登记!C17="","",SUMIF(出库登记!$C$2:$C$51,入库登记!C17,出库登记!$D$2:$D$51))</f>
        <v/>
      </c>
      <c r="F17" s="4">
        <f>IF(入库登记!C17="","",入库登记!H17-SUMIF(出库登记!$C$2:$C$51,入库登记!C17,出库登记!$D$2:$D$51))</f>
        <v/>
      </c>
      <c r="G17" s="4">
        <f>IF(入库登记!C17="","",入库登记!G17*(入库登记!H17-SUMIF(出库登记!$C$2:$C$51,入库登记!C17,出库登记!$D$2:$D$51)))</f>
        <v/>
      </c>
      <c r="H17" s="4">
        <f>IF(入库登记!C17="","",IF((入库登记!H17-SUMIF(出库登记!$C$2:$C$51,入库登记!C17,出库登记!$D$2:$D$51))&lt;=0,"缺货",IF((入库登记!H17-SUMIF(出库登记!$C$2:$C$51,入库登记!C17,出库登记!$D$2:$D$51))&lt;5,"紧张","充足")))</f>
        <v/>
      </c>
      <c r="I17" s="4" t="inlineStr"/>
    </row>
    <row r="18">
      <c r="A18" s="4">
        <f>IF(入库登记!C18="","",入库登记!C18)</f>
        <v/>
      </c>
      <c r="B18" s="4">
        <f>IF(入库登记!C18="","",入库登记!D18)</f>
        <v/>
      </c>
      <c r="C18" s="4">
        <f>IF(入库登记!C18="","",入库登记!E18)</f>
        <v/>
      </c>
      <c r="D18" s="4">
        <f>IF(入库登记!C18="",0,入库登记!H18)</f>
        <v/>
      </c>
      <c r="E18" s="4">
        <f>IF(入库登记!C18="","",SUMIF(出库登记!$C$2:$C$51,入库登记!C18,出库登记!$D$2:$D$51))</f>
        <v/>
      </c>
      <c r="F18" s="4">
        <f>IF(入库登记!C18="","",入库登记!H18-SUMIF(出库登记!$C$2:$C$51,入库登记!C18,出库登记!$D$2:$D$51))</f>
        <v/>
      </c>
      <c r="G18" s="4">
        <f>IF(入库登记!C18="","",入库登记!G18*(入库登记!H18-SUMIF(出库登记!$C$2:$C$51,入库登记!C18,出库登记!$D$2:$D$51)))</f>
        <v/>
      </c>
      <c r="H18" s="4">
        <f>IF(入库登记!C18="","",IF((入库登记!H18-SUMIF(出库登记!$C$2:$C$51,入库登记!C18,出库登记!$D$2:$D$51))&lt;=0,"缺货",IF((入库登记!H18-SUMIF(出库登记!$C$2:$C$51,入库登记!C18,出库登记!$D$2:$D$51))&lt;5,"紧张","充足")))</f>
        <v/>
      </c>
      <c r="I18" s="4" t="inlineStr"/>
    </row>
    <row r="19">
      <c r="A19" s="4">
        <f>IF(入库登记!C19="","",入库登记!C19)</f>
        <v/>
      </c>
      <c r="B19" s="4">
        <f>IF(入库登记!C19="","",入库登记!D19)</f>
        <v/>
      </c>
      <c r="C19" s="4">
        <f>IF(入库登记!C19="","",入库登记!E19)</f>
        <v/>
      </c>
      <c r="D19" s="4">
        <f>IF(入库登记!C19="",0,入库登记!H19)</f>
        <v/>
      </c>
      <c r="E19" s="4">
        <f>IF(入库登记!C19="","",SUMIF(出库登记!$C$2:$C$51,入库登记!C19,出库登记!$D$2:$D$51))</f>
        <v/>
      </c>
      <c r="F19" s="4">
        <f>IF(入库登记!C19="","",入库登记!H19-SUMIF(出库登记!$C$2:$C$51,入库登记!C19,出库登记!$D$2:$D$51))</f>
        <v/>
      </c>
      <c r="G19" s="4">
        <f>IF(入库登记!C19="","",入库登记!G19*(入库登记!H19-SUMIF(出库登记!$C$2:$C$51,入库登记!C19,出库登记!$D$2:$D$51)))</f>
        <v/>
      </c>
      <c r="H19" s="4">
        <f>IF(入库登记!C19="","",IF((入库登记!H19-SUMIF(出库登记!$C$2:$C$51,入库登记!C19,出库登记!$D$2:$D$51))&lt;=0,"缺货",IF((入库登记!H19-SUMIF(出库登记!$C$2:$C$51,入库登记!C19,出库登记!$D$2:$D$51))&lt;5,"紧张","充足")))</f>
        <v/>
      </c>
      <c r="I19" s="4" t="inlineStr"/>
    </row>
    <row r="20">
      <c r="A20" s="4">
        <f>IF(入库登记!C20="","",入库登记!C20)</f>
        <v/>
      </c>
      <c r="B20" s="4">
        <f>IF(入库登记!C20="","",入库登记!D20)</f>
        <v/>
      </c>
      <c r="C20" s="4">
        <f>IF(入库登记!C20="","",入库登记!E20)</f>
        <v/>
      </c>
      <c r="D20" s="4">
        <f>IF(入库登记!C20="",0,入库登记!H20)</f>
        <v/>
      </c>
      <c r="E20" s="4">
        <f>IF(入库登记!C20="","",SUMIF(出库登记!$C$2:$C$51,入库登记!C20,出库登记!$D$2:$D$51))</f>
        <v/>
      </c>
      <c r="F20" s="4">
        <f>IF(入库登记!C20="","",入库登记!H20-SUMIF(出库登记!$C$2:$C$51,入库登记!C20,出库登记!$D$2:$D$51))</f>
        <v/>
      </c>
      <c r="G20" s="4">
        <f>IF(入库登记!C20="","",入库登记!G20*(入库登记!H20-SUMIF(出库登记!$C$2:$C$51,入库登记!C20,出库登记!$D$2:$D$51)))</f>
        <v/>
      </c>
      <c r="H20" s="4">
        <f>IF(入库登记!C20="","",IF((入库登记!H20-SUMIF(出库登记!$C$2:$C$51,入库登记!C20,出库登记!$D$2:$D$51))&lt;=0,"缺货",IF((入库登记!H20-SUMIF(出库登记!$C$2:$C$51,入库登记!C20,出库登记!$D$2:$D$51))&lt;5,"紧张","充足")))</f>
        <v/>
      </c>
      <c r="I20" s="4" t="inlineStr"/>
    </row>
    <row r="21">
      <c r="A21" s="4">
        <f>IF(入库登记!C21="","",入库登记!C21)</f>
        <v/>
      </c>
      <c r="B21" s="4">
        <f>IF(入库登记!C21="","",入库登记!D21)</f>
        <v/>
      </c>
      <c r="C21" s="4">
        <f>IF(入库登记!C21="","",入库登记!E21)</f>
        <v/>
      </c>
      <c r="D21" s="4">
        <f>IF(入库登记!C21="",0,入库登记!H21)</f>
        <v/>
      </c>
      <c r="E21" s="4">
        <f>IF(入库登记!C21="","",SUMIF(出库登记!$C$2:$C$51,入库登记!C21,出库登记!$D$2:$D$51))</f>
        <v/>
      </c>
      <c r="F21" s="4">
        <f>IF(入库登记!C21="","",入库登记!H21-SUMIF(出库登记!$C$2:$C$51,入库登记!C21,出库登记!$D$2:$D$51))</f>
        <v/>
      </c>
      <c r="G21" s="4">
        <f>IF(入库登记!C21="","",入库登记!G21*(入库登记!H21-SUMIF(出库登记!$C$2:$C$51,入库登记!C21,出库登记!$D$2:$D$51)))</f>
        <v/>
      </c>
      <c r="H21" s="4">
        <f>IF(入库登记!C21="","",IF((入库登记!H21-SUMIF(出库登记!$C$2:$C$51,入库登记!C21,出库登记!$D$2:$D$51))&lt;=0,"缺货",IF((入库登记!H21-SUMIF(出库登记!$C$2:$C$51,入库登记!C21,出库登记!$D$2:$D$51))&lt;5,"紧张","充足")))</f>
        <v/>
      </c>
      <c r="I21" s="4" t="inlineStr"/>
    </row>
    <row r="22">
      <c r="A22" s="4">
        <f>IF(入库登记!C22="","",入库登记!C22)</f>
        <v/>
      </c>
      <c r="B22" s="4">
        <f>IF(入库登记!C22="","",入库登记!D22)</f>
        <v/>
      </c>
      <c r="C22" s="4">
        <f>IF(入库登记!C22="","",入库登记!E22)</f>
        <v/>
      </c>
      <c r="D22" s="4">
        <f>IF(入库登记!C22="",0,入库登记!H22)</f>
        <v/>
      </c>
      <c r="E22" s="4">
        <f>IF(入库登记!C22="","",SUMIF(出库登记!$C$2:$C$51,入库登记!C22,出库登记!$D$2:$D$51))</f>
        <v/>
      </c>
      <c r="F22" s="4">
        <f>IF(入库登记!C22="","",入库登记!H22-SUMIF(出库登记!$C$2:$C$51,入库登记!C22,出库登记!$D$2:$D$51))</f>
        <v/>
      </c>
      <c r="G22" s="4">
        <f>IF(入库登记!C22="","",入库登记!G22*(入库登记!H22-SUMIF(出库登记!$C$2:$C$51,入库登记!C22,出库登记!$D$2:$D$51)))</f>
        <v/>
      </c>
      <c r="H22" s="4">
        <f>IF(入库登记!C22="","",IF((入库登记!H22-SUMIF(出库登记!$C$2:$C$51,入库登记!C22,出库登记!$D$2:$D$51))&lt;=0,"缺货",IF((入库登记!H22-SUMIF(出库登记!$C$2:$C$51,入库登记!C22,出库登记!$D$2:$D$51))&lt;5,"紧张","充足")))</f>
        <v/>
      </c>
      <c r="I22" s="4" t="inlineStr"/>
    </row>
    <row r="23">
      <c r="A23" s="4">
        <f>IF(入库登记!C23="","",入库登记!C23)</f>
        <v/>
      </c>
      <c r="B23" s="4">
        <f>IF(入库登记!C23="","",入库登记!D23)</f>
        <v/>
      </c>
      <c r="C23" s="4">
        <f>IF(入库登记!C23="","",入库登记!E23)</f>
        <v/>
      </c>
      <c r="D23" s="4">
        <f>IF(入库登记!C23="",0,入库登记!H23)</f>
        <v/>
      </c>
      <c r="E23" s="4">
        <f>IF(入库登记!C23="","",SUMIF(出库登记!$C$2:$C$51,入库登记!C23,出库登记!$D$2:$D$51))</f>
        <v/>
      </c>
      <c r="F23" s="4">
        <f>IF(入库登记!C23="","",入库登记!H23-SUMIF(出库登记!$C$2:$C$51,入库登记!C23,出库登记!$D$2:$D$51))</f>
        <v/>
      </c>
      <c r="G23" s="4">
        <f>IF(入库登记!C23="","",入库登记!G23*(入库登记!H23-SUMIF(出库登记!$C$2:$C$51,入库登记!C23,出库登记!$D$2:$D$51)))</f>
        <v/>
      </c>
      <c r="H23" s="4">
        <f>IF(入库登记!C23="","",IF((入库登记!H23-SUMIF(出库登记!$C$2:$C$51,入库登记!C23,出库登记!$D$2:$D$51))&lt;=0,"缺货",IF((入库登记!H23-SUMIF(出库登记!$C$2:$C$51,入库登记!C23,出库登记!$D$2:$D$51))&lt;5,"紧张","充足")))</f>
        <v/>
      </c>
      <c r="I23" s="4" t="inlineStr"/>
    </row>
    <row r="24">
      <c r="A24" s="4">
        <f>IF(入库登记!C24="","",入库登记!C24)</f>
        <v/>
      </c>
      <c r="B24" s="4">
        <f>IF(入库登记!C24="","",入库登记!D24)</f>
        <v/>
      </c>
      <c r="C24" s="4">
        <f>IF(入库登记!C24="","",入库登记!E24)</f>
        <v/>
      </c>
      <c r="D24" s="4">
        <f>IF(入库登记!C24="",0,入库登记!H24)</f>
        <v/>
      </c>
      <c r="E24" s="4">
        <f>IF(入库登记!C24="","",SUMIF(出库登记!$C$2:$C$51,入库登记!C24,出库登记!$D$2:$D$51))</f>
        <v/>
      </c>
      <c r="F24" s="4">
        <f>IF(入库登记!C24="","",入库登记!H24-SUMIF(出库登记!$C$2:$C$51,入库登记!C24,出库登记!$D$2:$D$51))</f>
        <v/>
      </c>
      <c r="G24" s="4">
        <f>IF(入库登记!C24="","",入库登记!G24*(入库登记!H24-SUMIF(出库登记!$C$2:$C$51,入库登记!C24,出库登记!$D$2:$D$51)))</f>
        <v/>
      </c>
      <c r="H24" s="4">
        <f>IF(入库登记!C24="","",IF((入库登记!H24-SUMIF(出库登记!$C$2:$C$51,入库登记!C24,出库登记!$D$2:$D$51))&lt;=0,"缺货",IF((入库登记!H24-SUMIF(出库登记!$C$2:$C$51,入库登记!C24,出库登记!$D$2:$D$51))&lt;5,"紧张","充足")))</f>
        <v/>
      </c>
      <c r="I24" s="4" t="inlineStr"/>
    </row>
    <row r="25">
      <c r="A25" s="4">
        <f>IF(入库登记!C25="","",入库登记!C25)</f>
        <v/>
      </c>
      <c r="B25" s="4">
        <f>IF(入库登记!C25="","",入库登记!D25)</f>
        <v/>
      </c>
      <c r="C25" s="4">
        <f>IF(入库登记!C25="","",入库登记!E25)</f>
        <v/>
      </c>
      <c r="D25" s="4">
        <f>IF(入库登记!C25="",0,入库登记!H25)</f>
        <v/>
      </c>
      <c r="E25" s="4">
        <f>IF(入库登记!C25="","",SUMIF(出库登记!$C$2:$C$51,入库登记!C25,出库登记!$D$2:$D$51))</f>
        <v/>
      </c>
      <c r="F25" s="4">
        <f>IF(入库登记!C25="","",入库登记!H25-SUMIF(出库登记!$C$2:$C$51,入库登记!C25,出库登记!$D$2:$D$51))</f>
        <v/>
      </c>
      <c r="G25" s="4">
        <f>IF(入库登记!C25="","",入库登记!G25*(入库登记!H25-SUMIF(出库登记!$C$2:$C$51,入库登记!C25,出库登记!$D$2:$D$51)))</f>
        <v/>
      </c>
      <c r="H25" s="4">
        <f>IF(入库登记!C25="","",IF((入库登记!H25-SUMIF(出库登记!$C$2:$C$51,入库登记!C25,出库登记!$D$2:$D$51))&lt;=0,"缺货",IF((入库登记!H25-SUMIF(出库登记!$C$2:$C$51,入库登记!C25,出库登记!$D$2:$D$51))&lt;5,"紧张","充足")))</f>
        <v/>
      </c>
      <c r="I25" s="4" t="inlineStr"/>
    </row>
    <row r="26">
      <c r="A26" s="4">
        <f>IF(入库登记!C26="","",入库登记!C26)</f>
        <v/>
      </c>
      <c r="B26" s="4">
        <f>IF(入库登记!C26="","",入库登记!D26)</f>
        <v/>
      </c>
      <c r="C26" s="4">
        <f>IF(入库登记!C26="","",入库登记!E26)</f>
        <v/>
      </c>
      <c r="D26" s="4">
        <f>IF(入库登记!C26="",0,入库登记!H26)</f>
        <v/>
      </c>
      <c r="E26" s="4">
        <f>IF(入库登记!C26="","",SUMIF(出库登记!$C$2:$C$51,入库登记!C26,出库登记!$D$2:$D$51))</f>
        <v/>
      </c>
      <c r="F26" s="4">
        <f>IF(入库登记!C26="","",入库登记!H26-SUMIF(出库登记!$C$2:$C$51,入库登记!C26,出库登记!$D$2:$D$51))</f>
        <v/>
      </c>
      <c r="G26" s="4">
        <f>IF(入库登记!C26="","",入库登记!G26*(入库登记!H26-SUMIF(出库登记!$C$2:$C$51,入库登记!C26,出库登记!$D$2:$D$51)))</f>
        <v/>
      </c>
      <c r="H26" s="4">
        <f>IF(入库登记!C26="","",IF((入库登记!H26-SUMIF(出库登记!$C$2:$C$51,入库登记!C26,出库登记!$D$2:$D$51))&lt;=0,"缺货",IF((入库登记!H26-SUMIF(出库登记!$C$2:$C$51,入库登记!C26,出库登记!$D$2:$D$51))&lt;5,"紧张","充足")))</f>
        <v/>
      </c>
      <c r="I26" s="4" t="inlineStr"/>
    </row>
    <row r="27">
      <c r="A27" s="4">
        <f>IF(入库登记!C27="","",入库登记!C27)</f>
        <v/>
      </c>
      <c r="B27" s="4">
        <f>IF(入库登记!C27="","",入库登记!D27)</f>
        <v/>
      </c>
      <c r="C27" s="4">
        <f>IF(入库登记!C27="","",入库登记!E27)</f>
        <v/>
      </c>
      <c r="D27" s="4">
        <f>IF(入库登记!C27="",0,入库登记!H27)</f>
        <v/>
      </c>
      <c r="E27" s="4">
        <f>IF(入库登记!C27="","",SUMIF(出库登记!$C$2:$C$51,入库登记!C27,出库登记!$D$2:$D$51))</f>
        <v/>
      </c>
      <c r="F27" s="4">
        <f>IF(入库登记!C27="","",入库登记!H27-SUMIF(出库登记!$C$2:$C$51,入库登记!C27,出库登记!$D$2:$D$51))</f>
        <v/>
      </c>
      <c r="G27" s="4">
        <f>IF(入库登记!C27="","",入库登记!G27*(入库登记!H27-SUMIF(出库登记!$C$2:$C$51,入库登记!C27,出库登记!$D$2:$D$51)))</f>
        <v/>
      </c>
      <c r="H27" s="4">
        <f>IF(入库登记!C27="","",IF((入库登记!H27-SUMIF(出库登记!$C$2:$C$51,入库登记!C27,出库登记!$D$2:$D$51))&lt;=0,"缺货",IF((入库登记!H27-SUMIF(出库登记!$C$2:$C$51,入库登记!C27,出库登记!$D$2:$D$51))&lt;5,"紧张","充足")))</f>
        <v/>
      </c>
      <c r="I27" s="4" t="inlineStr"/>
    </row>
    <row r="28">
      <c r="A28" s="4">
        <f>IF(入库登记!C28="","",入库登记!C28)</f>
        <v/>
      </c>
      <c r="B28" s="4">
        <f>IF(入库登记!C28="","",入库登记!D28)</f>
        <v/>
      </c>
      <c r="C28" s="4">
        <f>IF(入库登记!C28="","",入库登记!E28)</f>
        <v/>
      </c>
      <c r="D28" s="4">
        <f>IF(入库登记!C28="",0,入库登记!H28)</f>
        <v/>
      </c>
      <c r="E28" s="4">
        <f>IF(入库登记!C28="","",SUMIF(出库登记!$C$2:$C$51,入库登记!C28,出库登记!$D$2:$D$51))</f>
        <v/>
      </c>
      <c r="F28" s="4">
        <f>IF(入库登记!C28="","",入库登记!H28-SUMIF(出库登记!$C$2:$C$51,入库登记!C28,出库登记!$D$2:$D$51))</f>
        <v/>
      </c>
      <c r="G28" s="4">
        <f>IF(入库登记!C28="","",入库登记!G28*(入库登记!H28-SUMIF(出库登记!$C$2:$C$51,入库登记!C28,出库登记!$D$2:$D$51)))</f>
        <v/>
      </c>
      <c r="H28" s="4">
        <f>IF(入库登记!C28="","",IF((入库登记!H28-SUMIF(出库登记!$C$2:$C$51,入库登记!C28,出库登记!$D$2:$D$51))&lt;=0,"缺货",IF((入库登记!H28-SUMIF(出库登记!$C$2:$C$51,入库登记!C28,出库登记!$D$2:$D$51))&lt;5,"紧张","充足")))</f>
        <v/>
      </c>
      <c r="I28" s="4" t="inlineStr"/>
    </row>
    <row r="29">
      <c r="A29" s="4">
        <f>IF(入库登记!C29="","",入库登记!C29)</f>
        <v/>
      </c>
      <c r="B29" s="4">
        <f>IF(入库登记!C29="","",入库登记!D29)</f>
        <v/>
      </c>
      <c r="C29" s="4">
        <f>IF(入库登记!C29="","",入库登记!E29)</f>
        <v/>
      </c>
      <c r="D29" s="4">
        <f>IF(入库登记!C29="",0,入库登记!H29)</f>
        <v/>
      </c>
      <c r="E29" s="4">
        <f>IF(入库登记!C29="","",SUMIF(出库登记!$C$2:$C$51,入库登记!C29,出库登记!$D$2:$D$51))</f>
        <v/>
      </c>
      <c r="F29" s="4">
        <f>IF(入库登记!C29="","",入库登记!H29-SUMIF(出库登记!$C$2:$C$51,入库登记!C29,出库登记!$D$2:$D$51))</f>
        <v/>
      </c>
      <c r="G29" s="4">
        <f>IF(入库登记!C29="","",入库登记!G29*(入库登记!H29-SUMIF(出库登记!$C$2:$C$51,入库登记!C29,出库登记!$D$2:$D$51)))</f>
        <v/>
      </c>
      <c r="H29" s="4">
        <f>IF(入库登记!C29="","",IF((入库登记!H29-SUMIF(出库登记!$C$2:$C$51,入库登记!C29,出库登记!$D$2:$D$51))&lt;=0,"缺货",IF((入库登记!H29-SUMIF(出库登记!$C$2:$C$51,入库登记!C29,出库登记!$D$2:$D$51))&lt;5,"紧张","充足")))</f>
        <v/>
      </c>
      <c r="I29" s="4" t="inlineStr"/>
    </row>
    <row r="30">
      <c r="A30" s="4">
        <f>IF(入库登记!C30="","",入库登记!C30)</f>
        <v/>
      </c>
      <c r="B30" s="4">
        <f>IF(入库登记!C30="","",入库登记!D30)</f>
        <v/>
      </c>
      <c r="C30" s="4">
        <f>IF(入库登记!C30="","",入库登记!E30)</f>
        <v/>
      </c>
      <c r="D30" s="4">
        <f>IF(入库登记!C30="",0,入库登记!H30)</f>
        <v/>
      </c>
      <c r="E30" s="4">
        <f>IF(入库登记!C30="","",SUMIF(出库登记!$C$2:$C$51,入库登记!C30,出库登记!$D$2:$D$51))</f>
        <v/>
      </c>
      <c r="F30" s="4">
        <f>IF(入库登记!C30="","",入库登记!H30-SUMIF(出库登记!$C$2:$C$51,入库登记!C30,出库登记!$D$2:$D$51))</f>
        <v/>
      </c>
      <c r="G30" s="4">
        <f>IF(入库登记!C30="","",入库登记!G30*(入库登记!H30-SUMIF(出库登记!$C$2:$C$51,入库登记!C30,出库登记!$D$2:$D$51)))</f>
        <v/>
      </c>
      <c r="H30" s="4">
        <f>IF(入库登记!C30="","",IF((入库登记!H30-SUMIF(出库登记!$C$2:$C$51,入库登记!C30,出库登记!$D$2:$D$51))&lt;=0,"缺货",IF((入库登记!H30-SUMIF(出库登记!$C$2:$C$51,入库登记!C30,出库登记!$D$2:$D$51))&lt;5,"紧张","充足")))</f>
        <v/>
      </c>
      <c r="I30" s="4" t="inlineStr"/>
    </row>
    <row r="31">
      <c r="A31" s="4">
        <f>IF(入库登记!C31="","",入库登记!C31)</f>
        <v/>
      </c>
      <c r="B31" s="4">
        <f>IF(入库登记!C31="","",入库登记!D31)</f>
        <v/>
      </c>
      <c r="C31" s="4">
        <f>IF(入库登记!C31="","",入库登记!E31)</f>
        <v/>
      </c>
      <c r="D31" s="4">
        <f>IF(入库登记!C31="",0,入库登记!H31)</f>
        <v/>
      </c>
      <c r="E31" s="4">
        <f>IF(入库登记!C31="","",SUMIF(出库登记!$C$2:$C$51,入库登记!C31,出库登记!$D$2:$D$51))</f>
        <v/>
      </c>
      <c r="F31" s="4">
        <f>IF(入库登记!C31="","",入库登记!H31-SUMIF(出库登记!$C$2:$C$51,入库登记!C31,出库登记!$D$2:$D$51))</f>
        <v/>
      </c>
      <c r="G31" s="4">
        <f>IF(入库登记!C31="","",入库登记!G31*(入库登记!H31-SUMIF(出库登记!$C$2:$C$51,入库登记!C31,出库登记!$D$2:$D$51)))</f>
        <v/>
      </c>
      <c r="H31" s="4">
        <f>IF(入库登记!C31="","",IF((入库登记!H31-SUMIF(出库登记!$C$2:$C$51,入库登记!C31,出库登记!$D$2:$D$51))&lt;=0,"缺货",IF((入库登记!H31-SUMIF(出库登记!$C$2:$C$51,入库登记!C31,出库登记!$D$2:$D$51))&lt;5,"紧张","充足")))</f>
        <v/>
      </c>
      <c r="I31" s="4" t="inlineStr"/>
    </row>
    <row r="32">
      <c r="A32" s="4">
        <f>IF(入库登记!C32="","",入库登记!C32)</f>
        <v/>
      </c>
      <c r="B32" s="4">
        <f>IF(入库登记!C32="","",入库登记!D32)</f>
        <v/>
      </c>
      <c r="C32" s="4">
        <f>IF(入库登记!C32="","",入库登记!E32)</f>
        <v/>
      </c>
      <c r="D32" s="4">
        <f>IF(入库登记!C32="",0,入库登记!H32)</f>
        <v/>
      </c>
      <c r="E32" s="4">
        <f>IF(入库登记!C32="","",SUMIF(出库登记!$C$2:$C$51,入库登记!C32,出库登记!$D$2:$D$51))</f>
        <v/>
      </c>
      <c r="F32" s="4">
        <f>IF(入库登记!C32="","",入库登记!H32-SUMIF(出库登记!$C$2:$C$51,入库登记!C32,出库登记!$D$2:$D$51))</f>
        <v/>
      </c>
      <c r="G32" s="4">
        <f>IF(入库登记!C32="","",入库登记!G32*(入库登记!H32-SUMIF(出库登记!$C$2:$C$51,入库登记!C32,出库登记!$D$2:$D$51)))</f>
        <v/>
      </c>
      <c r="H32" s="4">
        <f>IF(入库登记!C32="","",IF((入库登记!H32-SUMIF(出库登记!$C$2:$C$51,入库登记!C32,出库登记!$D$2:$D$51))&lt;=0,"缺货",IF((入库登记!H32-SUMIF(出库登记!$C$2:$C$51,入库登记!C32,出库登记!$D$2:$D$51))&lt;5,"紧张","充足")))</f>
        <v/>
      </c>
      <c r="I32" s="4" t="inlineStr"/>
    </row>
    <row r="33">
      <c r="A33" s="4">
        <f>IF(入库登记!C33="","",入库登记!C33)</f>
        <v/>
      </c>
      <c r="B33" s="4">
        <f>IF(入库登记!C33="","",入库登记!D33)</f>
        <v/>
      </c>
      <c r="C33" s="4">
        <f>IF(入库登记!C33="","",入库登记!E33)</f>
        <v/>
      </c>
      <c r="D33" s="4">
        <f>IF(入库登记!C33="",0,入库登记!H33)</f>
        <v/>
      </c>
      <c r="E33" s="4">
        <f>IF(入库登记!C33="","",SUMIF(出库登记!$C$2:$C$51,入库登记!C33,出库登记!$D$2:$D$51))</f>
        <v/>
      </c>
      <c r="F33" s="4">
        <f>IF(入库登记!C33="","",入库登记!H33-SUMIF(出库登记!$C$2:$C$51,入库登记!C33,出库登记!$D$2:$D$51))</f>
        <v/>
      </c>
      <c r="G33" s="4">
        <f>IF(入库登记!C33="","",入库登记!G33*(入库登记!H33-SUMIF(出库登记!$C$2:$C$51,入库登记!C33,出库登记!$D$2:$D$51)))</f>
        <v/>
      </c>
      <c r="H33" s="4">
        <f>IF(入库登记!C33="","",IF((入库登记!H33-SUMIF(出库登记!$C$2:$C$51,入库登记!C33,出库登记!$D$2:$D$51))&lt;=0,"缺货",IF((入库登记!H33-SUMIF(出库登记!$C$2:$C$51,入库登记!C33,出库登记!$D$2:$D$51))&lt;5,"紧张","充足")))</f>
        <v/>
      </c>
      <c r="I33" s="4" t="inlineStr"/>
    </row>
    <row r="34">
      <c r="A34" s="4">
        <f>IF(入库登记!C34="","",入库登记!C34)</f>
        <v/>
      </c>
      <c r="B34" s="4">
        <f>IF(入库登记!C34="","",入库登记!D34)</f>
        <v/>
      </c>
      <c r="C34" s="4">
        <f>IF(入库登记!C34="","",入库登记!E34)</f>
        <v/>
      </c>
      <c r="D34" s="4">
        <f>IF(入库登记!C34="",0,入库登记!H34)</f>
        <v/>
      </c>
      <c r="E34" s="4">
        <f>IF(入库登记!C34="","",SUMIF(出库登记!$C$2:$C$51,入库登记!C34,出库登记!$D$2:$D$51))</f>
        <v/>
      </c>
      <c r="F34" s="4">
        <f>IF(入库登记!C34="","",入库登记!H34-SUMIF(出库登记!$C$2:$C$51,入库登记!C34,出库登记!$D$2:$D$51))</f>
        <v/>
      </c>
      <c r="G34" s="4">
        <f>IF(入库登记!C34="","",入库登记!G34*(入库登记!H34-SUMIF(出库登记!$C$2:$C$51,入库登记!C34,出库登记!$D$2:$D$51)))</f>
        <v/>
      </c>
      <c r="H34" s="4">
        <f>IF(入库登记!C34="","",IF((入库登记!H34-SUMIF(出库登记!$C$2:$C$51,入库登记!C34,出库登记!$D$2:$D$51))&lt;=0,"缺货",IF((入库登记!H34-SUMIF(出库登记!$C$2:$C$51,入库登记!C34,出库登记!$D$2:$D$51))&lt;5,"紧张","充足")))</f>
        <v/>
      </c>
      <c r="I34" s="4" t="inlineStr"/>
    </row>
    <row r="35">
      <c r="A35" s="4">
        <f>IF(入库登记!C35="","",入库登记!C35)</f>
        <v/>
      </c>
      <c r="B35" s="4">
        <f>IF(入库登记!C35="","",入库登记!D35)</f>
        <v/>
      </c>
      <c r="C35" s="4">
        <f>IF(入库登记!C35="","",入库登记!E35)</f>
        <v/>
      </c>
      <c r="D35" s="4">
        <f>IF(入库登记!C35="",0,入库登记!H35)</f>
        <v/>
      </c>
      <c r="E35" s="4">
        <f>IF(入库登记!C35="","",SUMIF(出库登记!$C$2:$C$51,入库登记!C35,出库登记!$D$2:$D$51))</f>
        <v/>
      </c>
      <c r="F35" s="4">
        <f>IF(入库登记!C35="","",入库登记!H35-SUMIF(出库登记!$C$2:$C$51,入库登记!C35,出库登记!$D$2:$D$51))</f>
        <v/>
      </c>
      <c r="G35" s="4">
        <f>IF(入库登记!C35="","",入库登记!G35*(入库登记!H35-SUMIF(出库登记!$C$2:$C$51,入库登记!C35,出库登记!$D$2:$D$51)))</f>
        <v/>
      </c>
      <c r="H35" s="4">
        <f>IF(入库登记!C35="","",IF((入库登记!H35-SUMIF(出库登记!$C$2:$C$51,入库登记!C35,出库登记!$D$2:$D$51))&lt;=0,"缺货",IF((入库登记!H35-SUMIF(出库登记!$C$2:$C$51,入库登记!C35,出库登记!$D$2:$D$51))&lt;5,"紧张","充足")))</f>
        <v/>
      </c>
      <c r="I35" s="4" t="inlineStr"/>
    </row>
    <row r="36">
      <c r="A36" s="4">
        <f>IF(入库登记!C36="","",入库登记!C36)</f>
        <v/>
      </c>
      <c r="B36" s="4">
        <f>IF(入库登记!C36="","",入库登记!D36)</f>
        <v/>
      </c>
      <c r="C36" s="4">
        <f>IF(入库登记!C36="","",入库登记!E36)</f>
        <v/>
      </c>
      <c r="D36" s="4">
        <f>IF(入库登记!C36="",0,入库登记!H36)</f>
        <v/>
      </c>
      <c r="E36" s="4">
        <f>IF(入库登记!C36="","",SUMIF(出库登记!$C$2:$C$51,入库登记!C36,出库登记!$D$2:$D$51))</f>
        <v/>
      </c>
      <c r="F36" s="4">
        <f>IF(入库登记!C36="","",入库登记!H36-SUMIF(出库登记!$C$2:$C$51,入库登记!C36,出库登记!$D$2:$D$51))</f>
        <v/>
      </c>
      <c r="G36" s="4">
        <f>IF(入库登记!C36="","",入库登记!G36*(入库登记!H36-SUMIF(出库登记!$C$2:$C$51,入库登记!C36,出库登记!$D$2:$D$51)))</f>
        <v/>
      </c>
      <c r="H36" s="4">
        <f>IF(入库登记!C36="","",IF((入库登记!H36-SUMIF(出库登记!$C$2:$C$51,入库登记!C36,出库登记!$D$2:$D$51))&lt;=0,"缺货",IF((入库登记!H36-SUMIF(出库登记!$C$2:$C$51,入库登记!C36,出库登记!$D$2:$D$51))&lt;5,"紧张","充足")))</f>
        <v/>
      </c>
      <c r="I36" s="4" t="inlineStr"/>
    </row>
    <row r="37">
      <c r="A37" s="4">
        <f>IF(入库登记!C37="","",入库登记!C37)</f>
        <v/>
      </c>
      <c r="B37" s="4">
        <f>IF(入库登记!C37="","",入库登记!D37)</f>
        <v/>
      </c>
      <c r="C37" s="4">
        <f>IF(入库登记!C37="","",入库登记!E37)</f>
        <v/>
      </c>
      <c r="D37" s="4">
        <f>IF(入库登记!C37="",0,入库登记!H37)</f>
        <v/>
      </c>
      <c r="E37" s="4">
        <f>IF(入库登记!C37="","",SUMIF(出库登记!$C$2:$C$51,入库登记!C37,出库登记!$D$2:$D$51))</f>
        <v/>
      </c>
      <c r="F37" s="4">
        <f>IF(入库登记!C37="","",入库登记!H37-SUMIF(出库登记!$C$2:$C$51,入库登记!C37,出库登记!$D$2:$D$51))</f>
        <v/>
      </c>
      <c r="G37" s="4">
        <f>IF(入库登记!C37="","",入库登记!G37*(入库登记!H37-SUMIF(出库登记!$C$2:$C$51,入库登记!C37,出库登记!$D$2:$D$51)))</f>
        <v/>
      </c>
      <c r="H37" s="4">
        <f>IF(入库登记!C37="","",IF((入库登记!H37-SUMIF(出库登记!$C$2:$C$51,入库登记!C37,出库登记!$D$2:$D$51))&lt;=0,"缺货",IF((入库登记!H37-SUMIF(出库登记!$C$2:$C$51,入库登记!C37,出库登记!$D$2:$D$51))&lt;5,"紧张","充足")))</f>
        <v/>
      </c>
      <c r="I37" s="4" t="inlineStr"/>
    </row>
    <row r="38">
      <c r="A38" s="4">
        <f>IF(入库登记!C38="","",入库登记!C38)</f>
        <v/>
      </c>
      <c r="B38" s="4">
        <f>IF(入库登记!C38="","",入库登记!D38)</f>
        <v/>
      </c>
      <c r="C38" s="4">
        <f>IF(入库登记!C38="","",入库登记!E38)</f>
        <v/>
      </c>
      <c r="D38" s="4">
        <f>IF(入库登记!C38="",0,入库登记!H38)</f>
        <v/>
      </c>
      <c r="E38" s="4">
        <f>IF(入库登记!C38="","",SUMIF(出库登记!$C$2:$C$51,入库登记!C38,出库登记!$D$2:$D$51))</f>
        <v/>
      </c>
      <c r="F38" s="4">
        <f>IF(入库登记!C38="","",入库登记!H38-SUMIF(出库登记!$C$2:$C$51,入库登记!C38,出库登记!$D$2:$D$51))</f>
        <v/>
      </c>
      <c r="G38" s="4">
        <f>IF(入库登记!C38="","",入库登记!G38*(入库登记!H38-SUMIF(出库登记!$C$2:$C$51,入库登记!C38,出库登记!$D$2:$D$51)))</f>
        <v/>
      </c>
      <c r="H38" s="4">
        <f>IF(入库登记!C38="","",IF((入库登记!H38-SUMIF(出库登记!$C$2:$C$51,入库登记!C38,出库登记!$D$2:$D$51))&lt;=0,"缺货",IF((入库登记!H38-SUMIF(出库登记!$C$2:$C$51,入库登记!C38,出库登记!$D$2:$D$51))&lt;5,"紧张","充足")))</f>
        <v/>
      </c>
      <c r="I38" s="4" t="inlineStr"/>
    </row>
    <row r="39">
      <c r="A39" s="4">
        <f>IF(入库登记!C39="","",入库登记!C39)</f>
        <v/>
      </c>
      <c r="B39" s="4">
        <f>IF(入库登记!C39="","",入库登记!D39)</f>
        <v/>
      </c>
      <c r="C39" s="4">
        <f>IF(入库登记!C39="","",入库登记!E39)</f>
        <v/>
      </c>
      <c r="D39" s="4">
        <f>IF(入库登记!C39="",0,入库登记!H39)</f>
        <v/>
      </c>
      <c r="E39" s="4">
        <f>IF(入库登记!C39="","",SUMIF(出库登记!$C$2:$C$51,入库登记!C39,出库登记!$D$2:$D$51))</f>
        <v/>
      </c>
      <c r="F39" s="4">
        <f>IF(入库登记!C39="","",入库登记!H39-SUMIF(出库登记!$C$2:$C$51,入库登记!C39,出库登记!$D$2:$D$51))</f>
        <v/>
      </c>
      <c r="G39" s="4">
        <f>IF(入库登记!C39="","",入库登记!G39*(入库登记!H39-SUMIF(出库登记!$C$2:$C$51,入库登记!C39,出库登记!$D$2:$D$51)))</f>
        <v/>
      </c>
      <c r="H39" s="4">
        <f>IF(入库登记!C39="","",IF((入库登记!H39-SUMIF(出库登记!$C$2:$C$51,入库登记!C39,出库登记!$D$2:$D$51))&lt;=0,"缺货",IF((入库登记!H39-SUMIF(出库登记!$C$2:$C$51,入库登记!C39,出库登记!$D$2:$D$51))&lt;5,"紧张","充足")))</f>
        <v/>
      </c>
      <c r="I39" s="4" t="inlineStr"/>
    </row>
    <row r="40">
      <c r="A40" s="4">
        <f>IF(入库登记!C40="","",入库登记!C40)</f>
        <v/>
      </c>
      <c r="B40" s="4">
        <f>IF(入库登记!C40="","",入库登记!D40)</f>
        <v/>
      </c>
      <c r="C40" s="4">
        <f>IF(入库登记!C40="","",入库登记!E40)</f>
        <v/>
      </c>
      <c r="D40" s="4">
        <f>IF(入库登记!C40="",0,入库登记!H40)</f>
        <v/>
      </c>
      <c r="E40" s="4">
        <f>IF(入库登记!C40="","",SUMIF(出库登记!$C$2:$C$51,入库登记!C40,出库登记!$D$2:$D$51))</f>
        <v/>
      </c>
      <c r="F40" s="4">
        <f>IF(入库登记!C40="","",入库登记!H40-SUMIF(出库登记!$C$2:$C$51,入库登记!C40,出库登记!$D$2:$D$51))</f>
        <v/>
      </c>
      <c r="G40" s="4">
        <f>IF(入库登记!C40="","",入库登记!G40*(入库登记!H40-SUMIF(出库登记!$C$2:$C$51,入库登记!C40,出库登记!$D$2:$D$51)))</f>
        <v/>
      </c>
      <c r="H40" s="4">
        <f>IF(入库登记!C40="","",IF((入库登记!H40-SUMIF(出库登记!$C$2:$C$51,入库登记!C40,出库登记!$D$2:$D$51))&lt;=0,"缺货",IF((入库登记!H40-SUMIF(出库登记!$C$2:$C$51,入库登记!C40,出库登记!$D$2:$D$51))&lt;5,"紧张","充足")))</f>
        <v/>
      </c>
      <c r="I40" s="4" t="inlineStr"/>
    </row>
    <row r="41">
      <c r="A41" s="4">
        <f>IF(入库登记!C41="","",入库登记!C41)</f>
        <v/>
      </c>
      <c r="B41" s="4">
        <f>IF(入库登记!C41="","",入库登记!D41)</f>
        <v/>
      </c>
      <c r="C41" s="4">
        <f>IF(入库登记!C41="","",入库登记!E41)</f>
        <v/>
      </c>
      <c r="D41" s="4">
        <f>IF(入库登记!C41="",0,入库登记!H41)</f>
        <v/>
      </c>
      <c r="E41" s="4">
        <f>IF(入库登记!C41="","",SUMIF(出库登记!$C$2:$C$51,入库登记!C41,出库登记!$D$2:$D$51))</f>
        <v/>
      </c>
      <c r="F41" s="4">
        <f>IF(入库登记!C41="","",入库登记!H41-SUMIF(出库登记!$C$2:$C$51,入库登记!C41,出库登记!$D$2:$D$51))</f>
        <v/>
      </c>
      <c r="G41" s="4">
        <f>IF(入库登记!C41="","",入库登记!G41*(入库登记!H41-SUMIF(出库登记!$C$2:$C$51,入库登记!C41,出库登记!$D$2:$D$51)))</f>
        <v/>
      </c>
      <c r="H41" s="4">
        <f>IF(入库登记!C41="","",IF((入库登记!H41-SUMIF(出库登记!$C$2:$C$51,入库登记!C41,出库登记!$D$2:$D$51))&lt;=0,"缺货",IF((入库登记!H41-SUMIF(出库登记!$C$2:$C$51,入库登记!C41,出库登记!$D$2:$D$51))&lt;5,"紧张","充足")))</f>
        <v/>
      </c>
      <c r="I41" s="4" t="inlineStr"/>
    </row>
    <row r="42">
      <c r="A42" s="4">
        <f>IF(入库登记!C42="","",入库登记!C42)</f>
        <v/>
      </c>
      <c r="B42" s="4">
        <f>IF(入库登记!C42="","",入库登记!D42)</f>
        <v/>
      </c>
      <c r="C42" s="4">
        <f>IF(入库登记!C42="","",入库登记!E42)</f>
        <v/>
      </c>
      <c r="D42" s="4">
        <f>IF(入库登记!C42="",0,入库登记!H42)</f>
        <v/>
      </c>
      <c r="E42" s="4">
        <f>IF(入库登记!C42="","",SUMIF(出库登记!$C$2:$C$51,入库登记!C42,出库登记!$D$2:$D$51))</f>
        <v/>
      </c>
      <c r="F42" s="4">
        <f>IF(入库登记!C42="","",入库登记!H42-SUMIF(出库登记!$C$2:$C$51,入库登记!C42,出库登记!$D$2:$D$51))</f>
        <v/>
      </c>
      <c r="G42" s="4">
        <f>IF(入库登记!C42="","",入库登记!G42*(入库登记!H42-SUMIF(出库登记!$C$2:$C$51,入库登记!C42,出库登记!$D$2:$D$51)))</f>
        <v/>
      </c>
      <c r="H42" s="4">
        <f>IF(入库登记!C42="","",IF((入库登记!H42-SUMIF(出库登记!$C$2:$C$51,入库登记!C42,出库登记!$D$2:$D$51))&lt;=0,"缺货",IF((入库登记!H42-SUMIF(出库登记!$C$2:$C$51,入库登记!C42,出库登记!$D$2:$D$51))&lt;5,"紧张","充足")))</f>
        <v/>
      </c>
      <c r="I42" s="4" t="inlineStr"/>
    </row>
    <row r="43">
      <c r="A43" s="4">
        <f>IF(入库登记!C43="","",入库登记!C43)</f>
        <v/>
      </c>
      <c r="B43" s="4">
        <f>IF(入库登记!C43="","",入库登记!D43)</f>
        <v/>
      </c>
      <c r="C43" s="4">
        <f>IF(入库登记!C43="","",入库登记!E43)</f>
        <v/>
      </c>
      <c r="D43" s="4">
        <f>IF(入库登记!C43="",0,入库登记!H43)</f>
        <v/>
      </c>
      <c r="E43" s="4">
        <f>IF(入库登记!C43="","",SUMIF(出库登记!$C$2:$C$51,入库登记!C43,出库登记!$D$2:$D$51))</f>
        <v/>
      </c>
      <c r="F43" s="4">
        <f>IF(入库登记!C43="","",入库登记!H43-SUMIF(出库登记!$C$2:$C$51,入库登记!C43,出库登记!$D$2:$D$51))</f>
        <v/>
      </c>
      <c r="G43" s="4">
        <f>IF(入库登记!C43="","",入库登记!G43*(入库登记!H43-SUMIF(出库登记!$C$2:$C$51,入库登记!C43,出库登记!$D$2:$D$51)))</f>
        <v/>
      </c>
      <c r="H43" s="4">
        <f>IF(入库登记!C43="","",IF((入库登记!H43-SUMIF(出库登记!$C$2:$C$51,入库登记!C43,出库登记!$D$2:$D$51))&lt;=0,"缺货",IF((入库登记!H43-SUMIF(出库登记!$C$2:$C$51,入库登记!C43,出库登记!$D$2:$D$51))&lt;5,"紧张","充足")))</f>
        <v/>
      </c>
      <c r="I43" s="4" t="inlineStr"/>
    </row>
    <row r="44">
      <c r="A44" s="4">
        <f>IF(入库登记!C44="","",入库登记!C44)</f>
        <v/>
      </c>
      <c r="B44" s="4">
        <f>IF(入库登记!C44="","",入库登记!D44)</f>
        <v/>
      </c>
      <c r="C44" s="4">
        <f>IF(入库登记!C44="","",入库登记!E44)</f>
        <v/>
      </c>
      <c r="D44" s="4">
        <f>IF(入库登记!C44="",0,入库登记!H44)</f>
        <v/>
      </c>
      <c r="E44" s="4">
        <f>IF(入库登记!C44="","",SUMIF(出库登记!$C$2:$C$51,入库登记!C44,出库登记!$D$2:$D$51))</f>
        <v/>
      </c>
      <c r="F44" s="4">
        <f>IF(入库登记!C44="","",入库登记!H44-SUMIF(出库登记!$C$2:$C$51,入库登记!C44,出库登记!$D$2:$D$51))</f>
        <v/>
      </c>
      <c r="G44" s="4">
        <f>IF(入库登记!C44="","",入库登记!G44*(入库登记!H44-SUMIF(出库登记!$C$2:$C$51,入库登记!C44,出库登记!$D$2:$D$51)))</f>
        <v/>
      </c>
      <c r="H44" s="4">
        <f>IF(入库登记!C44="","",IF((入库登记!H44-SUMIF(出库登记!$C$2:$C$51,入库登记!C44,出库登记!$D$2:$D$51))&lt;=0,"缺货",IF((入库登记!H44-SUMIF(出库登记!$C$2:$C$51,入库登记!C44,出库登记!$D$2:$D$51))&lt;5,"紧张","充足")))</f>
        <v/>
      </c>
      <c r="I44" s="4" t="inlineStr"/>
    </row>
    <row r="45">
      <c r="A45" s="4">
        <f>IF(入库登记!C45="","",入库登记!C45)</f>
        <v/>
      </c>
      <c r="B45" s="4">
        <f>IF(入库登记!C45="","",入库登记!D45)</f>
        <v/>
      </c>
      <c r="C45" s="4">
        <f>IF(入库登记!C45="","",入库登记!E45)</f>
        <v/>
      </c>
      <c r="D45" s="4">
        <f>IF(入库登记!C45="",0,入库登记!H45)</f>
        <v/>
      </c>
      <c r="E45" s="4">
        <f>IF(入库登记!C45="","",SUMIF(出库登记!$C$2:$C$51,入库登记!C45,出库登记!$D$2:$D$51))</f>
        <v/>
      </c>
      <c r="F45" s="4">
        <f>IF(入库登记!C45="","",入库登记!H45-SUMIF(出库登记!$C$2:$C$51,入库登记!C45,出库登记!$D$2:$D$51))</f>
        <v/>
      </c>
      <c r="G45" s="4">
        <f>IF(入库登记!C45="","",入库登记!G45*(入库登记!H45-SUMIF(出库登记!$C$2:$C$51,入库登记!C45,出库登记!$D$2:$D$51)))</f>
        <v/>
      </c>
      <c r="H45" s="4">
        <f>IF(入库登记!C45="","",IF((入库登记!H45-SUMIF(出库登记!$C$2:$C$51,入库登记!C45,出库登记!$D$2:$D$51))&lt;=0,"缺货",IF((入库登记!H45-SUMIF(出库登记!$C$2:$C$51,入库登记!C45,出库登记!$D$2:$D$51))&lt;5,"紧张","充足")))</f>
        <v/>
      </c>
      <c r="I45" s="4" t="inlineStr"/>
    </row>
    <row r="46">
      <c r="A46" s="4">
        <f>IF(入库登记!C46="","",入库登记!C46)</f>
        <v/>
      </c>
      <c r="B46" s="4">
        <f>IF(入库登记!C46="","",入库登记!D46)</f>
        <v/>
      </c>
      <c r="C46" s="4">
        <f>IF(入库登记!C46="","",入库登记!E46)</f>
        <v/>
      </c>
      <c r="D46" s="4">
        <f>IF(入库登记!C46="",0,入库登记!H46)</f>
        <v/>
      </c>
      <c r="E46" s="4">
        <f>IF(入库登记!C46="","",SUMIF(出库登记!$C$2:$C$51,入库登记!C46,出库登记!$D$2:$D$51))</f>
        <v/>
      </c>
      <c r="F46" s="4">
        <f>IF(入库登记!C46="","",入库登记!H46-SUMIF(出库登记!$C$2:$C$51,入库登记!C46,出库登记!$D$2:$D$51))</f>
        <v/>
      </c>
      <c r="G46" s="4">
        <f>IF(入库登记!C46="","",入库登记!G46*(入库登记!H46-SUMIF(出库登记!$C$2:$C$51,入库登记!C46,出库登记!$D$2:$D$51)))</f>
        <v/>
      </c>
      <c r="H46" s="4">
        <f>IF(入库登记!C46="","",IF((入库登记!H46-SUMIF(出库登记!$C$2:$C$51,入库登记!C46,出库登记!$D$2:$D$51))&lt;=0,"缺货",IF((入库登记!H46-SUMIF(出库登记!$C$2:$C$51,入库登记!C46,出库登记!$D$2:$D$51))&lt;5,"紧张","充足")))</f>
        <v/>
      </c>
      <c r="I46" s="4" t="inlineStr"/>
    </row>
    <row r="47">
      <c r="A47" s="4">
        <f>IF(入库登记!C47="","",入库登记!C47)</f>
        <v/>
      </c>
      <c r="B47" s="4">
        <f>IF(入库登记!C47="","",入库登记!D47)</f>
        <v/>
      </c>
      <c r="C47" s="4">
        <f>IF(入库登记!C47="","",入库登记!E47)</f>
        <v/>
      </c>
      <c r="D47" s="4">
        <f>IF(入库登记!C47="",0,入库登记!H47)</f>
        <v/>
      </c>
      <c r="E47" s="4">
        <f>IF(入库登记!C47="","",SUMIF(出库登记!$C$2:$C$51,入库登记!C47,出库登记!$D$2:$D$51))</f>
        <v/>
      </c>
      <c r="F47" s="4">
        <f>IF(入库登记!C47="","",入库登记!H47-SUMIF(出库登记!$C$2:$C$51,入库登记!C47,出库登记!$D$2:$D$51))</f>
        <v/>
      </c>
      <c r="G47" s="4">
        <f>IF(入库登记!C47="","",入库登记!G47*(入库登记!H47-SUMIF(出库登记!$C$2:$C$51,入库登记!C47,出库登记!$D$2:$D$51)))</f>
        <v/>
      </c>
      <c r="H47" s="4">
        <f>IF(入库登记!C47="","",IF((入库登记!H47-SUMIF(出库登记!$C$2:$C$51,入库登记!C47,出库登记!$D$2:$D$51))&lt;=0,"缺货",IF((入库登记!H47-SUMIF(出库登记!$C$2:$C$51,入库登记!C47,出库登记!$D$2:$D$51))&lt;5,"紧张","充足")))</f>
        <v/>
      </c>
      <c r="I47" s="4" t="inlineStr"/>
    </row>
    <row r="48">
      <c r="A48" s="4">
        <f>IF(入库登记!C48="","",入库登记!C48)</f>
        <v/>
      </c>
      <c r="B48" s="4">
        <f>IF(入库登记!C48="","",入库登记!D48)</f>
        <v/>
      </c>
      <c r="C48" s="4">
        <f>IF(入库登记!C48="","",入库登记!E48)</f>
        <v/>
      </c>
      <c r="D48" s="4">
        <f>IF(入库登记!C48="",0,入库登记!H48)</f>
        <v/>
      </c>
      <c r="E48" s="4">
        <f>IF(入库登记!C48="","",SUMIF(出库登记!$C$2:$C$51,入库登记!C48,出库登记!$D$2:$D$51))</f>
        <v/>
      </c>
      <c r="F48" s="4">
        <f>IF(入库登记!C48="","",入库登记!H48-SUMIF(出库登记!$C$2:$C$51,入库登记!C48,出库登记!$D$2:$D$51))</f>
        <v/>
      </c>
      <c r="G48" s="4">
        <f>IF(入库登记!C48="","",入库登记!G48*(入库登记!H48-SUMIF(出库登记!$C$2:$C$51,入库登记!C48,出库登记!$D$2:$D$51)))</f>
        <v/>
      </c>
      <c r="H48" s="4">
        <f>IF(入库登记!C48="","",IF((入库登记!H48-SUMIF(出库登记!$C$2:$C$51,入库登记!C48,出库登记!$D$2:$D$51))&lt;=0,"缺货",IF((入库登记!H48-SUMIF(出库登记!$C$2:$C$51,入库登记!C48,出库登记!$D$2:$D$51))&lt;5,"紧张","充足")))</f>
        <v/>
      </c>
      <c r="I48" s="4" t="inlineStr"/>
    </row>
    <row r="49">
      <c r="A49" s="4">
        <f>IF(入库登记!C49="","",入库登记!C49)</f>
        <v/>
      </c>
      <c r="B49" s="4">
        <f>IF(入库登记!C49="","",入库登记!D49)</f>
        <v/>
      </c>
      <c r="C49" s="4">
        <f>IF(入库登记!C49="","",入库登记!E49)</f>
        <v/>
      </c>
      <c r="D49" s="4">
        <f>IF(入库登记!C49="",0,入库登记!H49)</f>
        <v/>
      </c>
      <c r="E49" s="4">
        <f>IF(入库登记!C49="","",SUMIF(出库登记!$C$2:$C$51,入库登记!C49,出库登记!$D$2:$D$51))</f>
        <v/>
      </c>
      <c r="F49" s="4">
        <f>IF(入库登记!C49="","",入库登记!H49-SUMIF(出库登记!$C$2:$C$51,入库登记!C49,出库登记!$D$2:$D$51))</f>
        <v/>
      </c>
      <c r="G49" s="4">
        <f>IF(入库登记!C49="","",入库登记!G49*(入库登记!H49-SUMIF(出库登记!$C$2:$C$51,入库登记!C49,出库登记!$D$2:$D$51)))</f>
        <v/>
      </c>
      <c r="H49" s="4">
        <f>IF(入库登记!C49="","",IF((入库登记!H49-SUMIF(出库登记!$C$2:$C$51,入库登记!C49,出库登记!$D$2:$D$51))&lt;=0,"缺货",IF((入库登记!H49-SUMIF(出库登记!$C$2:$C$51,入库登记!C49,出库登记!$D$2:$D$51))&lt;5,"紧张","充足")))</f>
        <v/>
      </c>
      <c r="I49" s="4" t="inlineStr"/>
    </row>
    <row r="50">
      <c r="A50" s="4">
        <f>IF(入库登记!C50="","",入库登记!C50)</f>
        <v/>
      </c>
      <c r="B50" s="4">
        <f>IF(入库登记!C50="","",入库登记!D50)</f>
        <v/>
      </c>
      <c r="C50" s="4">
        <f>IF(入库登记!C50="","",入库登记!E50)</f>
        <v/>
      </c>
      <c r="D50" s="4">
        <f>IF(入库登记!C50="",0,入库登记!H50)</f>
        <v/>
      </c>
      <c r="E50" s="4">
        <f>IF(入库登记!C50="","",SUMIF(出库登记!$C$2:$C$51,入库登记!C50,出库登记!$D$2:$D$51))</f>
        <v/>
      </c>
      <c r="F50" s="4">
        <f>IF(入库登记!C50="","",入库登记!H50-SUMIF(出库登记!$C$2:$C$51,入库登记!C50,出库登记!$D$2:$D$51))</f>
        <v/>
      </c>
      <c r="G50" s="4">
        <f>IF(入库登记!C50="","",入库登记!G50*(入库登记!H50-SUMIF(出库登记!$C$2:$C$51,入库登记!C50,出库登记!$D$2:$D$51)))</f>
        <v/>
      </c>
      <c r="H50" s="4">
        <f>IF(入库登记!C50="","",IF((入库登记!H50-SUMIF(出库登记!$C$2:$C$51,入库登记!C50,出库登记!$D$2:$D$51))&lt;=0,"缺货",IF((入库登记!H50-SUMIF(出库登记!$C$2:$C$51,入库登记!C50,出库登记!$D$2:$D$51))&lt;5,"紧张","充足")))</f>
        <v/>
      </c>
      <c r="I50" s="4" t="inlineStr"/>
    </row>
    <row r="51">
      <c r="A51" s="4">
        <f>IF(入库登记!C51="","",入库登记!C51)</f>
        <v/>
      </c>
      <c r="B51" s="4">
        <f>IF(入库登记!C51="","",入库登记!D51)</f>
        <v/>
      </c>
      <c r="C51" s="4">
        <f>IF(入库登记!C51="","",入库登记!E51)</f>
        <v/>
      </c>
      <c r="D51" s="4">
        <f>IF(入库登记!C51="",0,入库登记!H51)</f>
        <v/>
      </c>
      <c r="E51" s="4">
        <f>IF(入库登记!C51="","",SUMIF(出库登记!$C$2:$C$51,入库登记!C51,出库登记!$D$2:$D$51))</f>
        <v/>
      </c>
      <c r="F51" s="4">
        <f>IF(入库登记!C51="","",入库登记!H51-SUMIF(出库登记!$C$2:$C$51,入库登记!C51,出库登记!$D$2:$D$51))</f>
        <v/>
      </c>
      <c r="G51" s="4">
        <f>IF(入库登记!C51="","",入库登记!G51*(入库登记!H51-SUMIF(出库登记!$C$2:$C$51,入库登记!C51,出库登记!$D$2:$D$51)))</f>
        <v/>
      </c>
      <c r="H51" s="4">
        <f>IF(入库登记!C51="","",IF((入库登记!H51-SUMIF(出库登记!$C$2:$C$51,入库登记!C51,出库登记!$D$2:$D$51))&lt;=0,"缺货",IF((入库登记!H51-SUMIF(出库登记!$C$2:$C$51,入库登记!C51,出库登记!$D$2:$D$51))&lt;5,"紧张","充足")))</f>
        <v/>
      </c>
      <c r="I51" s="4" t="inlineStr"/>
    </row>
    <row r="52">
      <c r="A52" s="4">
        <f>IF(入库登记!C52="","",入库登记!C52)</f>
        <v/>
      </c>
      <c r="B52" s="4">
        <f>IF(入库登记!C52="","",入库登记!D52)</f>
        <v/>
      </c>
      <c r="C52" s="4">
        <f>IF(入库登记!C52="","",入库登记!E52)</f>
        <v/>
      </c>
      <c r="D52" s="4">
        <f>IF(入库登记!C52="",0,入库登记!H52)</f>
        <v/>
      </c>
      <c r="E52" s="4">
        <f>IF(入库登记!C52="","",SUMIF(出库登记!$C$2:$C$51,入库登记!C52,出库登记!$D$2:$D$51))</f>
        <v/>
      </c>
      <c r="F52" s="4">
        <f>IF(入库登记!C52="","",入库登记!H52-SUMIF(出库登记!$C$2:$C$51,入库登记!C52,出库登记!$D$2:$D$51))</f>
        <v/>
      </c>
      <c r="G52" s="4">
        <f>IF(入库登记!C52="","",入库登记!G52*(入库登记!H52-SUMIF(出库登记!$C$2:$C$51,入库登记!C52,出库登记!$D$2:$D$51)))</f>
        <v/>
      </c>
      <c r="H52" s="4">
        <f>IF(入库登记!C52="","",IF((入库登记!H52-SUMIF(出库登记!$C$2:$C$51,入库登记!C52,出库登记!$D$2:$D$51))&lt;=0,"缺货",IF((入库登记!H52-SUMIF(出库登记!$C$2:$C$51,入库登记!C52,出库登记!$D$2:$D$51))&lt;5,"紧张","充足")))</f>
        <v/>
      </c>
      <c r="I52" s="4" t="inlineStr"/>
    </row>
    <row r="53">
      <c r="A53" s="4">
        <f>IF(入库登记!C53="","",入库登记!C53)</f>
        <v/>
      </c>
      <c r="B53" s="4">
        <f>IF(入库登记!C53="","",入库登记!D53)</f>
        <v/>
      </c>
      <c r="C53" s="4">
        <f>IF(入库登记!C53="","",入库登记!E53)</f>
        <v/>
      </c>
      <c r="D53" s="4">
        <f>IF(入库登记!C53="",0,入库登记!H53)</f>
        <v/>
      </c>
      <c r="E53" s="4">
        <f>IF(入库登记!C53="","",SUMIF(出库登记!$C$2:$C$51,入库登记!C53,出库登记!$D$2:$D$51))</f>
        <v/>
      </c>
      <c r="F53" s="4">
        <f>IF(入库登记!C53="","",入库登记!H53-SUMIF(出库登记!$C$2:$C$51,入库登记!C53,出库登记!$D$2:$D$51))</f>
        <v/>
      </c>
      <c r="G53" s="4">
        <f>IF(入库登记!C53="","",入库登记!G53*(入库登记!H53-SUMIF(出库登记!$C$2:$C$51,入库登记!C53,出库登记!$D$2:$D$51)))</f>
        <v/>
      </c>
      <c r="H53" s="4">
        <f>IF(入库登记!C53="","",IF((入库登记!H53-SUMIF(出库登记!$C$2:$C$51,入库登记!C53,出库登记!$D$2:$D$51))&lt;=0,"缺货",IF((入库登记!H53-SUMIF(出库登记!$C$2:$C$51,入库登记!C53,出库登记!$D$2:$D$51))&lt;5,"紧张","充足")))</f>
        <v/>
      </c>
      <c r="I53" s="4" t="inlineStr"/>
    </row>
    <row r="54">
      <c r="A54" s="4">
        <f>IF(入库登记!C54="","",入库登记!C54)</f>
        <v/>
      </c>
      <c r="B54" s="4">
        <f>IF(入库登记!C54="","",入库登记!D54)</f>
        <v/>
      </c>
      <c r="C54" s="4">
        <f>IF(入库登记!C54="","",入库登记!E54)</f>
        <v/>
      </c>
      <c r="D54" s="4">
        <f>IF(入库登记!C54="",0,入库登记!H54)</f>
        <v/>
      </c>
      <c r="E54" s="4">
        <f>IF(入库登记!C54="","",SUMIF(出库登记!$C$2:$C$51,入库登记!C54,出库登记!$D$2:$D$51))</f>
        <v/>
      </c>
      <c r="F54" s="4">
        <f>IF(入库登记!C54="","",入库登记!H54-SUMIF(出库登记!$C$2:$C$51,入库登记!C54,出库登记!$D$2:$D$51))</f>
        <v/>
      </c>
      <c r="G54" s="4">
        <f>IF(入库登记!C54="","",入库登记!G54*(入库登记!H54-SUMIF(出库登记!$C$2:$C$51,入库登记!C54,出库登记!$D$2:$D$51)))</f>
        <v/>
      </c>
      <c r="H54" s="4">
        <f>IF(入库登记!C54="","",IF((入库登记!H54-SUMIF(出库登记!$C$2:$C$51,入库登记!C54,出库登记!$D$2:$D$51))&lt;=0,"缺货",IF((入库登记!H54-SUMIF(出库登记!$C$2:$C$51,入库登记!C54,出库登记!$D$2:$D$51))&lt;5,"紧张","充足")))</f>
        <v/>
      </c>
      <c r="I54" s="4" t="inlineStr"/>
    </row>
    <row r="55">
      <c r="A55" s="4">
        <f>IF(入库登记!C55="","",入库登记!C55)</f>
        <v/>
      </c>
      <c r="B55" s="4">
        <f>IF(入库登记!C55="","",入库登记!D55)</f>
        <v/>
      </c>
      <c r="C55" s="4">
        <f>IF(入库登记!C55="","",入库登记!E55)</f>
        <v/>
      </c>
      <c r="D55" s="4">
        <f>IF(入库登记!C55="",0,入库登记!H55)</f>
        <v/>
      </c>
      <c r="E55" s="4">
        <f>IF(入库登记!C55="","",SUMIF(出库登记!$C$2:$C$51,入库登记!C55,出库登记!$D$2:$D$51))</f>
        <v/>
      </c>
      <c r="F55" s="4">
        <f>IF(入库登记!C55="","",入库登记!H55-SUMIF(出库登记!$C$2:$C$51,入库登记!C55,出库登记!$D$2:$D$51))</f>
        <v/>
      </c>
      <c r="G55" s="4">
        <f>IF(入库登记!C55="","",入库登记!G55*(入库登记!H55-SUMIF(出库登记!$C$2:$C$51,入库登记!C55,出库登记!$D$2:$D$51)))</f>
        <v/>
      </c>
      <c r="H55" s="4">
        <f>IF(入库登记!C55="","",IF((入库登记!H55-SUMIF(出库登记!$C$2:$C$51,入库登记!C55,出库登记!$D$2:$D$51))&lt;=0,"缺货",IF((入库登记!H55-SUMIF(出库登记!$C$2:$C$51,入库登记!C55,出库登记!$D$2:$D$51))&lt;5,"紧张","充足")))</f>
        <v/>
      </c>
      <c r="I55" s="4" t="inlineStr"/>
    </row>
    <row r="56">
      <c r="A56" s="4">
        <f>IF(入库登记!C56="","",入库登记!C56)</f>
        <v/>
      </c>
      <c r="B56" s="4">
        <f>IF(入库登记!C56="","",入库登记!D56)</f>
        <v/>
      </c>
      <c r="C56" s="4">
        <f>IF(入库登记!C56="","",入库登记!E56)</f>
        <v/>
      </c>
      <c r="D56" s="4">
        <f>IF(入库登记!C56="",0,入库登记!H56)</f>
        <v/>
      </c>
      <c r="E56" s="4">
        <f>IF(入库登记!C56="","",SUMIF(出库登记!$C$2:$C$51,入库登记!C56,出库登记!$D$2:$D$51))</f>
        <v/>
      </c>
      <c r="F56" s="4">
        <f>IF(入库登记!C56="","",入库登记!H56-SUMIF(出库登记!$C$2:$C$51,入库登记!C56,出库登记!$D$2:$D$51))</f>
        <v/>
      </c>
      <c r="G56" s="4">
        <f>IF(入库登记!C56="","",入库登记!G56*(入库登记!H56-SUMIF(出库登记!$C$2:$C$51,入库登记!C56,出库登记!$D$2:$D$51)))</f>
        <v/>
      </c>
      <c r="H56" s="4">
        <f>IF(入库登记!C56="","",IF((入库登记!H56-SUMIF(出库登记!$C$2:$C$51,入库登记!C56,出库登记!$D$2:$D$51))&lt;=0,"缺货",IF((入库登记!H56-SUMIF(出库登记!$C$2:$C$51,入库登记!C56,出库登记!$D$2:$D$51))&lt;5,"紧张","充足")))</f>
        <v/>
      </c>
      <c r="I56" s="4" t="inlineStr"/>
    </row>
    <row r="57">
      <c r="A57" s="4">
        <f>IF(入库登记!C57="","",入库登记!C57)</f>
        <v/>
      </c>
      <c r="B57" s="4">
        <f>IF(入库登记!C57="","",入库登记!D57)</f>
        <v/>
      </c>
      <c r="C57" s="4">
        <f>IF(入库登记!C57="","",入库登记!E57)</f>
        <v/>
      </c>
      <c r="D57" s="4">
        <f>IF(入库登记!C57="",0,入库登记!H57)</f>
        <v/>
      </c>
      <c r="E57" s="4">
        <f>IF(入库登记!C57="","",SUMIF(出库登记!$C$2:$C$51,入库登记!C57,出库登记!$D$2:$D$51))</f>
        <v/>
      </c>
      <c r="F57" s="4">
        <f>IF(入库登记!C57="","",入库登记!H57-SUMIF(出库登记!$C$2:$C$51,入库登记!C57,出库登记!$D$2:$D$51))</f>
        <v/>
      </c>
      <c r="G57" s="4">
        <f>IF(入库登记!C57="","",入库登记!G57*(入库登记!H57-SUMIF(出库登记!$C$2:$C$51,入库登记!C57,出库登记!$D$2:$D$51)))</f>
        <v/>
      </c>
      <c r="H57" s="4">
        <f>IF(入库登记!C57="","",IF((入库登记!H57-SUMIF(出库登记!$C$2:$C$51,入库登记!C57,出库登记!$D$2:$D$51))&lt;=0,"缺货",IF((入库登记!H57-SUMIF(出库登记!$C$2:$C$51,入库登记!C57,出库登记!$D$2:$D$51))&lt;5,"紧张","充足")))</f>
        <v/>
      </c>
      <c r="I57" s="4" t="inlineStr"/>
    </row>
    <row r="58">
      <c r="A58" s="4">
        <f>IF(入库登记!C58="","",入库登记!C58)</f>
        <v/>
      </c>
      <c r="B58" s="4">
        <f>IF(入库登记!C58="","",入库登记!D58)</f>
        <v/>
      </c>
      <c r="C58" s="4">
        <f>IF(入库登记!C58="","",入库登记!E58)</f>
        <v/>
      </c>
      <c r="D58" s="4">
        <f>IF(入库登记!C58="",0,入库登记!H58)</f>
        <v/>
      </c>
      <c r="E58" s="4">
        <f>IF(入库登记!C58="","",SUMIF(出库登记!$C$2:$C$51,入库登记!C58,出库登记!$D$2:$D$51))</f>
        <v/>
      </c>
      <c r="F58" s="4">
        <f>IF(入库登记!C58="","",入库登记!H58-SUMIF(出库登记!$C$2:$C$51,入库登记!C58,出库登记!$D$2:$D$51))</f>
        <v/>
      </c>
      <c r="G58" s="4">
        <f>IF(入库登记!C58="","",入库登记!G58*(入库登记!H58-SUMIF(出库登记!$C$2:$C$51,入库登记!C58,出库登记!$D$2:$D$51)))</f>
        <v/>
      </c>
      <c r="H58" s="4">
        <f>IF(入库登记!C58="","",IF((入库登记!H58-SUMIF(出库登记!$C$2:$C$51,入库登记!C58,出库登记!$D$2:$D$51))&lt;=0,"缺货",IF((入库登记!H58-SUMIF(出库登记!$C$2:$C$51,入库登记!C58,出库登记!$D$2:$D$51))&lt;5,"紧张","充足")))</f>
        <v/>
      </c>
      <c r="I58" s="4" t="inlineStr"/>
    </row>
    <row r="59">
      <c r="A59" s="4">
        <f>IF(入库登记!C59="","",入库登记!C59)</f>
        <v/>
      </c>
      <c r="B59" s="4">
        <f>IF(入库登记!C59="","",入库登记!D59)</f>
        <v/>
      </c>
      <c r="C59" s="4">
        <f>IF(入库登记!C59="","",入库登记!E59)</f>
        <v/>
      </c>
      <c r="D59" s="4">
        <f>IF(入库登记!C59="",0,入库登记!H59)</f>
        <v/>
      </c>
      <c r="E59" s="4">
        <f>IF(入库登记!C59="","",SUMIF(出库登记!$C$2:$C$51,入库登记!C59,出库登记!$D$2:$D$51))</f>
        <v/>
      </c>
      <c r="F59" s="4">
        <f>IF(入库登记!C59="","",入库登记!H59-SUMIF(出库登记!$C$2:$C$51,入库登记!C59,出库登记!$D$2:$D$51))</f>
        <v/>
      </c>
      <c r="G59" s="4">
        <f>IF(入库登记!C59="","",入库登记!G59*(入库登记!H59-SUMIF(出库登记!$C$2:$C$51,入库登记!C59,出库登记!$D$2:$D$51)))</f>
        <v/>
      </c>
      <c r="H59" s="4">
        <f>IF(入库登记!C59="","",IF((入库登记!H59-SUMIF(出库登记!$C$2:$C$51,入库登记!C59,出库登记!$D$2:$D$51))&lt;=0,"缺货",IF((入库登记!H59-SUMIF(出库登记!$C$2:$C$51,入库登记!C59,出库登记!$D$2:$D$51))&lt;5,"紧张","充足")))</f>
        <v/>
      </c>
      <c r="I59" s="4" t="inlineStr"/>
    </row>
    <row r="60">
      <c r="A60" s="4">
        <f>IF(入库登记!C60="","",入库登记!C60)</f>
        <v/>
      </c>
      <c r="B60" s="4">
        <f>IF(入库登记!C60="","",入库登记!D60)</f>
        <v/>
      </c>
      <c r="C60" s="4">
        <f>IF(入库登记!C60="","",入库登记!E60)</f>
        <v/>
      </c>
      <c r="D60" s="4">
        <f>IF(入库登记!C60="",0,入库登记!H60)</f>
        <v/>
      </c>
      <c r="E60" s="4">
        <f>IF(入库登记!C60="","",SUMIF(出库登记!$C$2:$C$51,入库登记!C60,出库登记!$D$2:$D$51))</f>
        <v/>
      </c>
      <c r="F60" s="4">
        <f>IF(入库登记!C60="","",入库登记!H60-SUMIF(出库登记!$C$2:$C$51,入库登记!C60,出库登记!$D$2:$D$51))</f>
        <v/>
      </c>
      <c r="G60" s="4">
        <f>IF(入库登记!C60="","",入库登记!G60*(入库登记!H60-SUMIF(出库登记!$C$2:$C$51,入库登记!C60,出库登记!$D$2:$D$51)))</f>
        <v/>
      </c>
      <c r="H60" s="4">
        <f>IF(入库登记!C60="","",IF((入库登记!H60-SUMIF(出库登记!$C$2:$C$51,入库登记!C60,出库登记!$D$2:$D$51))&lt;=0,"缺货",IF((入库登记!H60-SUMIF(出库登记!$C$2:$C$51,入库登记!C60,出库登记!$D$2:$D$51))&lt;5,"紧张","充足")))</f>
        <v/>
      </c>
      <c r="I60" s="4" t="inlineStr"/>
    </row>
    <row r="61">
      <c r="A61" s="4">
        <f>IF(入库登记!C61="","",入库登记!C61)</f>
        <v/>
      </c>
      <c r="B61" s="4">
        <f>IF(入库登记!C61="","",入库登记!D61)</f>
        <v/>
      </c>
      <c r="C61" s="4">
        <f>IF(入库登记!C61="","",入库登记!E61)</f>
        <v/>
      </c>
      <c r="D61" s="4">
        <f>IF(入库登记!C61="",0,入库登记!H61)</f>
        <v/>
      </c>
      <c r="E61" s="4">
        <f>IF(入库登记!C61="","",SUMIF(出库登记!$C$2:$C$51,入库登记!C61,出库登记!$D$2:$D$51))</f>
        <v/>
      </c>
      <c r="F61" s="4">
        <f>IF(入库登记!C61="","",入库登记!H61-SUMIF(出库登记!$C$2:$C$51,入库登记!C61,出库登记!$D$2:$D$51))</f>
        <v/>
      </c>
      <c r="G61" s="4">
        <f>IF(入库登记!C61="","",入库登记!G61*(入库登记!H61-SUMIF(出库登记!$C$2:$C$51,入库登记!C61,出库登记!$D$2:$D$51)))</f>
        <v/>
      </c>
      <c r="H61" s="4">
        <f>IF(入库登记!C61="","",IF((入库登记!H61-SUMIF(出库登记!$C$2:$C$51,入库登记!C61,出库登记!$D$2:$D$51))&lt;=0,"缺货",IF((入库登记!H61-SUMIF(出库登记!$C$2:$C$51,入库登记!C61,出库登记!$D$2:$D$51))&lt;5,"紧张","充足")))</f>
        <v/>
      </c>
      <c r="I61" s="4" t="inlineStr"/>
    </row>
    <row r="62">
      <c r="A62" s="4">
        <f>IF(入库登记!C62="","",入库登记!C62)</f>
        <v/>
      </c>
      <c r="B62" s="4">
        <f>IF(入库登记!C62="","",入库登记!D62)</f>
        <v/>
      </c>
      <c r="C62" s="4">
        <f>IF(入库登记!C62="","",入库登记!E62)</f>
        <v/>
      </c>
      <c r="D62" s="4">
        <f>IF(入库登记!C62="",0,入库登记!H62)</f>
        <v/>
      </c>
      <c r="E62" s="4">
        <f>IF(入库登记!C62="","",SUMIF(出库登记!$C$2:$C$51,入库登记!C62,出库登记!$D$2:$D$51))</f>
        <v/>
      </c>
      <c r="F62" s="4">
        <f>IF(入库登记!C62="","",入库登记!H62-SUMIF(出库登记!$C$2:$C$51,入库登记!C62,出库登记!$D$2:$D$51))</f>
        <v/>
      </c>
      <c r="G62" s="4">
        <f>IF(入库登记!C62="","",入库登记!G62*(入库登记!H62-SUMIF(出库登记!$C$2:$C$51,入库登记!C62,出库登记!$D$2:$D$51)))</f>
        <v/>
      </c>
      <c r="H62" s="4">
        <f>IF(入库登记!C62="","",IF((入库登记!H62-SUMIF(出库登记!$C$2:$C$51,入库登记!C62,出库登记!$D$2:$D$51))&lt;=0,"缺货",IF((入库登记!H62-SUMIF(出库登记!$C$2:$C$51,入库登记!C62,出库登记!$D$2:$D$51))&lt;5,"紧张","充足")))</f>
        <v/>
      </c>
      <c r="I62" s="4" t="inlineStr"/>
    </row>
    <row r="63">
      <c r="A63" s="4">
        <f>IF(入库登记!C63="","",入库登记!C63)</f>
        <v/>
      </c>
      <c r="B63" s="4">
        <f>IF(入库登记!C63="","",入库登记!D63)</f>
        <v/>
      </c>
      <c r="C63" s="4">
        <f>IF(入库登记!C63="","",入库登记!E63)</f>
        <v/>
      </c>
      <c r="D63" s="4">
        <f>IF(入库登记!C63="",0,入库登记!H63)</f>
        <v/>
      </c>
      <c r="E63" s="4">
        <f>IF(入库登记!C63="","",SUMIF(出库登记!$C$2:$C$51,入库登记!C63,出库登记!$D$2:$D$51))</f>
        <v/>
      </c>
      <c r="F63" s="4">
        <f>IF(入库登记!C63="","",入库登记!H63-SUMIF(出库登记!$C$2:$C$51,入库登记!C63,出库登记!$D$2:$D$51))</f>
        <v/>
      </c>
      <c r="G63" s="4">
        <f>IF(入库登记!C63="","",入库登记!G63*(入库登记!H63-SUMIF(出库登记!$C$2:$C$51,入库登记!C63,出库登记!$D$2:$D$51)))</f>
        <v/>
      </c>
      <c r="H63" s="4">
        <f>IF(入库登记!C63="","",IF((入库登记!H63-SUMIF(出库登记!$C$2:$C$51,入库登记!C63,出库登记!$D$2:$D$51))&lt;=0,"缺货",IF((入库登记!H63-SUMIF(出库登记!$C$2:$C$51,入库登记!C63,出库登记!$D$2:$D$51))&lt;5,"紧张","充足")))</f>
        <v/>
      </c>
      <c r="I63" s="4" t="inlineStr"/>
    </row>
    <row r="64">
      <c r="A64" s="4">
        <f>IF(入库登记!C64="","",入库登记!C64)</f>
        <v/>
      </c>
      <c r="B64" s="4">
        <f>IF(入库登记!C64="","",入库登记!D64)</f>
        <v/>
      </c>
      <c r="C64" s="4">
        <f>IF(入库登记!C64="","",入库登记!E64)</f>
        <v/>
      </c>
      <c r="D64" s="4">
        <f>IF(入库登记!C64="",0,入库登记!H64)</f>
        <v/>
      </c>
      <c r="E64" s="4">
        <f>IF(入库登记!C64="","",SUMIF(出库登记!$C$2:$C$51,入库登记!C64,出库登记!$D$2:$D$51))</f>
        <v/>
      </c>
      <c r="F64" s="4">
        <f>IF(入库登记!C64="","",入库登记!H64-SUMIF(出库登记!$C$2:$C$51,入库登记!C64,出库登记!$D$2:$D$51))</f>
        <v/>
      </c>
      <c r="G64" s="4">
        <f>IF(入库登记!C64="","",入库登记!G64*(入库登记!H64-SUMIF(出库登记!$C$2:$C$51,入库登记!C64,出库登记!$D$2:$D$51)))</f>
        <v/>
      </c>
      <c r="H64" s="4">
        <f>IF(入库登记!C64="","",IF((入库登记!H64-SUMIF(出库登记!$C$2:$C$51,入库登记!C64,出库登记!$D$2:$D$51))&lt;=0,"缺货",IF((入库登记!H64-SUMIF(出库登记!$C$2:$C$51,入库登记!C64,出库登记!$D$2:$D$51))&lt;5,"紧张","充足")))</f>
        <v/>
      </c>
      <c r="I64" s="4" t="inlineStr"/>
    </row>
    <row r="65">
      <c r="A65" s="4">
        <f>IF(入库登记!C65="","",入库登记!C65)</f>
        <v/>
      </c>
      <c r="B65" s="4">
        <f>IF(入库登记!C65="","",入库登记!D65)</f>
        <v/>
      </c>
      <c r="C65" s="4">
        <f>IF(入库登记!C65="","",入库登记!E65)</f>
        <v/>
      </c>
      <c r="D65" s="4">
        <f>IF(入库登记!C65="",0,入库登记!H65)</f>
        <v/>
      </c>
      <c r="E65" s="4">
        <f>IF(入库登记!C65="","",SUMIF(出库登记!$C$2:$C$51,入库登记!C65,出库登记!$D$2:$D$51))</f>
        <v/>
      </c>
      <c r="F65" s="4">
        <f>IF(入库登记!C65="","",入库登记!H65-SUMIF(出库登记!$C$2:$C$51,入库登记!C65,出库登记!$D$2:$D$51))</f>
        <v/>
      </c>
      <c r="G65" s="4">
        <f>IF(入库登记!C65="","",入库登记!G65*(入库登记!H65-SUMIF(出库登记!$C$2:$C$51,入库登记!C65,出库登记!$D$2:$D$51)))</f>
        <v/>
      </c>
      <c r="H65" s="4">
        <f>IF(入库登记!C65="","",IF((入库登记!H65-SUMIF(出库登记!$C$2:$C$51,入库登记!C65,出库登记!$D$2:$D$51))&lt;=0,"缺货",IF((入库登记!H65-SUMIF(出库登记!$C$2:$C$51,入库登记!C65,出库登记!$D$2:$D$51))&lt;5,"紧张","充足")))</f>
        <v/>
      </c>
      <c r="I65" s="4" t="inlineStr"/>
    </row>
    <row r="66">
      <c r="A66" s="4">
        <f>IF(入库登记!C66="","",入库登记!C66)</f>
        <v/>
      </c>
      <c r="B66" s="4">
        <f>IF(入库登记!C66="","",入库登记!D66)</f>
        <v/>
      </c>
      <c r="C66" s="4">
        <f>IF(入库登记!C66="","",入库登记!E66)</f>
        <v/>
      </c>
      <c r="D66" s="4">
        <f>IF(入库登记!C66="",0,入库登记!H66)</f>
        <v/>
      </c>
      <c r="E66" s="4">
        <f>IF(入库登记!C66="","",SUMIF(出库登记!$C$2:$C$51,入库登记!C66,出库登记!$D$2:$D$51))</f>
        <v/>
      </c>
      <c r="F66" s="4">
        <f>IF(入库登记!C66="","",入库登记!H66-SUMIF(出库登记!$C$2:$C$51,入库登记!C66,出库登记!$D$2:$D$51))</f>
        <v/>
      </c>
      <c r="G66" s="4">
        <f>IF(入库登记!C66="","",入库登记!G66*(入库登记!H66-SUMIF(出库登记!$C$2:$C$51,入库登记!C66,出库登记!$D$2:$D$51)))</f>
        <v/>
      </c>
      <c r="H66" s="4">
        <f>IF(入库登记!C66="","",IF((入库登记!H66-SUMIF(出库登记!$C$2:$C$51,入库登记!C66,出库登记!$D$2:$D$51))&lt;=0,"缺货",IF((入库登记!H66-SUMIF(出库登记!$C$2:$C$51,入库登记!C66,出库登记!$D$2:$D$51))&lt;5,"紧张","充足")))</f>
        <v/>
      </c>
      <c r="I66" s="4" t="inlineStr"/>
    </row>
    <row r="67">
      <c r="A67" s="4">
        <f>IF(入库登记!C67="","",入库登记!C67)</f>
        <v/>
      </c>
      <c r="B67" s="4">
        <f>IF(入库登记!C67="","",入库登记!D67)</f>
        <v/>
      </c>
      <c r="C67" s="4">
        <f>IF(入库登记!C67="","",入库登记!E67)</f>
        <v/>
      </c>
      <c r="D67" s="4">
        <f>IF(入库登记!C67="",0,入库登记!H67)</f>
        <v/>
      </c>
      <c r="E67" s="4">
        <f>IF(入库登记!C67="","",SUMIF(出库登记!$C$2:$C$51,入库登记!C67,出库登记!$D$2:$D$51))</f>
        <v/>
      </c>
      <c r="F67" s="4">
        <f>IF(入库登记!C67="","",入库登记!H67-SUMIF(出库登记!$C$2:$C$51,入库登记!C67,出库登记!$D$2:$D$51))</f>
        <v/>
      </c>
      <c r="G67" s="4">
        <f>IF(入库登记!C67="","",入库登记!G67*(入库登记!H67-SUMIF(出库登记!$C$2:$C$51,入库登记!C67,出库登记!$D$2:$D$51)))</f>
        <v/>
      </c>
      <c r="H67" s="4">
        <f>IF(入库登记!C67="","",IF((入库登记!H67-SUMIF(出库登记!$C$2:$C$51,入库登记!C67,出库登记!$D$2:$D$51))&lt;=0,"缺货",IF((入库登记!H67-SUMIF(出库登记!$C$2:$C$51,入库登记!C67,出库登记!$D$2:$D$51))&lt;5,"紧张","充足")))</f>
        <v/>
      </c>
      <c r="I67" s="4" t="inlineStr"/>
    </row>
    <row r="68">
      <c r="A68" s="4">
        <f>IF(入库登记!C68="","",入库登记!C68)</f>
        <v/>
      </c>
      <c r="B68" s="4">
        <f>IF(入库登记!C68="","",入库登记!D68)</f>
        <v/>
      </c>
      <c r="C68" s="4">
        <f>IF(入库登记!C68="","",入库登记!E68)</f>
        <v/>
      </c>
      <c r="D68" s="4">
        <f>IF(入库登记!C68="",0,入库登记!H68)</f>
        <v/>
      </c>
      <c r="E68" s="4">
        <f>IF(入库登记!C68="","",SUMIF(出库登记!$C$2:$C$51,入库登记!C68,出库登记!$D$2:$D$51))</f>
        <v/>
      </c>
      <c r="F68" s="4">
        <f>IF(入库登记!C68="","",入库登记!H68-SUMIF(出库登记!$C$2:$C$51,入库登记!C68,出库登记!$D$2:$D$51))</f>
        <v/>
      </c>
      <c r="G68" s="4">
        <f>IF(入库登记!C68="","",入库登记!G68*(入库登记!H68-SUMIF(出库登记!$C$2:$C$51,入库登记!C68,出库登记!$D$2:$D$51)))</f>
        <v/>
      </c>
      <c r="H68" s="4">
        <f>IF(入库登记!C68="","",IF((入库登记!H68-SUMIF(出库登记!$C$2:$C$51,入库登记!C68,出库登记!$D$2:$D$51))&lt;=0,"缺货",IF((入库登记!H68-SUMIF(出库登记!$C$2:$C$51,入库登记!C68,出库登记!$D$2:$D$51))&lt;5,"紧张","充足")))</f>
        <v/>
      </c>
      <c r="I68" s="4" t="inlineStr"/>
    </row>
    <row r="69">
      <c r="A69" s="4">
        <f>IF(入库登记!C69="","",入库登记!C69)</f>
        <v/>
      </c>
      <c r="B69" s="4">
        <f>IF(入库登记!C69="","",入库登记!D69)</f>
        <v/>
      </c>
      <c r="C69" s="4">
        <f>IF(入库登记!C69="","",入库登记!E69)</f>
        <v/>
      </c>
      <c r="D69" s="4">
        <f>IF(入库登记!C69="",0,入库登记!H69)</f>
        <v/>
      </c>
      <c r="E69" s="4">
        <f>IF(入库登记!C69="","",SUMIF(出库登记!$C$2:$C$51,入库登记!C69,出库登记!$D$2:$D$51))</f>
        <v/>
      </c>
      <c r="F69" s="4">
        <f>IF(入库登记!C69="","",入库登记!H69-SUMIF(出库登记!$C$2:$C$51,入库登记!C69,出库登记!$D$2:$D$51))</f>
        <v/>
      </c>
      <c r="G69" s="4">
        <f>IF(入库登记!C69="","",入库登记!G69*(入库登记!H69-SUMIF(出库登记!$C$2:$C$51,入库登记!C69,出库登记!$D$2:$D$51)))</f>
        <v/>
      </c>
      <c r="H69" s="4">
        <f>IF(入库登记!C69="","",IF((入库登记!H69-SUMIF(出库登记!$C$2:$C$51,入库登记!C69,出库登记!$D$2:$D$51))&lt;=0,"缺货",IF((入库登记!H69-SUMIF(出库登记!$C$2:$C$51,入库登记!C69,出库登记!$D$2:$D$51))&lt;5,"紧张","充足")))</f>
        <v/>
      </c>
      <c r="I69" s="4" t="inlineStr"/>
    </row>
    <row r="70">
      <c r="A70" s="4">
        <f>IF(入库登记!C70="","",入库登记!C70)</f>
        <v/>
      </c>
      <c r="B70" s="4">
        <f>IF(入库登记!C70="","",入库登记!D70)</f>
        <v/>
      </c>
      <c r="C70" s="4">
        <f>IF(入库登记!C70="","",入库登记!E70)</f>
        <v/>
      </c>
      <c r="D70" s="4">
        <f>IF(入库登记!C70="",0,入库登记!H70)</f>
        <v/>
      </c>
      <c r="E70" s="4">
        <f>IF(入库登记!C70="","",SUMIF(出库登记!$C$2:$C$51,入库登记!C70,出库登记!$D$2:$D$51))</f>
        <v/>
      </c>
      <c r="F70" s="4">
        <f>IF(入库登记!C70="","",入库登记!H70-SUMIF(出库登记!$C$2:$C$51,入库登记!C70,出库登记!$D$2:$D$51))</f>
        <v/>
      </c>
      <c r="G70" s="4">
        <f>IF(入库登记!C70="","",入库登记!G70*(入库登记!H70-SUMIF(出库登记!$C$2:$C$51,入库登记!C70,出库登记!$D$2:$D$51)))</f>
        <v/>
      </c>
      <c r="H70" s="4">
        <f>IF(入库登记!C70="","",IF((入库登记!H70-SUMIF(出库登记!$C$2:$C$51,入库登记!C70,出库登记!$D$2:$D$51))&lt;=0,"缺货",IF((入库登记!H70-SUMIF(出库登记!$C$2:$C$51,入库登记!C70,出库登记!$D$2:$D$51))&lt;5,"紧张","充足")))</f>
        <v/>
      </c>
      <c r="I70" s="4" t="inlineStr"/>
    </row>
    <row r="71">
      <c r="A71" s="4">
        <f>IF(入库登记!C71="","",入库登记!C71)</f>
        <v/>
      </c>
      <c r="B71" s="4">
        <f>IF(入库登记!C71="","",入库登记!D71)</f>
        <v/>
      </c>
      <c r="C71" s="4">
        <f>IF(入库登记!C71="","",入库登记!E71)</f>
        <v/>
      </c>
      <c r="D71" s="4">
        <f>IF(入库登记!C71="",0,入库登记!H71)</f>
        <v/>
      </c>
      <c r="E71" s="4">
        <f>IF(入库登记!C71="","",SUMIF(出库登记!$C$2:$C$51,入库登记!C71,出库登记!$D$2:$D$51))</f>
        <v/>
      </c>
      <c r="F71" s="4">
        <f>IF(入库登记!C71="","",入库登记!H71-SUMIF(出库登记!$C$2:$C$51,入库登记!C71,出库登记!$D$2:$D$51))</f>
        <v/>
      </c>
      <c r="G71" s="4">
        <f>IF(入库登记!C71="","",入库登记!G71*(入库登记!H71-SUMIF(出库登记!$C$2:$C$51,入库登记!C71,出库登记!$D$2:$D$51)))</f>
        <v/>
      </c>
      <c r="H71" s="4">
        <f>IF(入库登记!C71="","",IF((入库登记!H71-SUMIF(出库登记!$C$2:$C$51,入库登记!C71,出库登记!$D$2:$D$51))&lt;=0,"缺货",IF((入库登记!H71-SUMIF(出库登记!$C$2:$C$51,入库登记!C71,出库登记!$D$2:$D$51))&lt;5,"紧张","充足")))</f>
        <v/>
      </c>
      <c r="I71" s="4" t="inlineStr"/>
    </row>
    <row r="72">
      <c r="A72" s="4">
        <f>IF(入库登记!C72="","",入库登记!C72)</f>
        <v/>
      </c>
      <c r="B72" s="4">
        <f>IF(入库登记!C72="","",入库登记!D72)</f>
        <v/>
      </c>
      <c r="C72" s="4">
        <f>IF(入库登记!C72="","",入库登记!E72)</f>
        <v/>
      </c>
      <c r="D72" s="4">
        <f>IF(入库登记!C72="",0,入库登记!H72)</f>
        <v/>
      </c>
      <c r="E72" s="4">
        <f>IF(入库登记!C72="","",SUMIF(出库登记!$C$2:$C$51,入库登记!C72,出库登记!$D$2:$D$51))</f>
        <v/>
      </c>
      <c r="F72" s="4">
        <f>IF(入库登记!C72="","",入库登记!H72-SUMIF(出库登记!$C$2:$C$51,入库登记!C72,出库登记!$D$2:$D$51))</f>
        <v/>
      </c>
      <c r="G72" s="4">
        <f>IF(入库登记!C72="","",入库登记!G72*(入库登记!H72-SUMIF(出库登记!$C$2:$C$51,入库登记!C72,出库登记!$D$2:$D$51)))</f>
        <v/>
      </c>
      <c r="H72" s="4">
        <f>IF(入库登记!C72="","",IF((入库登记!H72-SUMIF(出库登记!$C$2:$C$51,入库登记!C72,出库登记!$D$2:$D$51))&lt;=0,"缺货",IF((入库登记!H72-SUMIF(出库登记!$C$2:$C$51,入库登记!C72,出库登记!$D$2:$D$51))&lt;5,"紧张","充足")))</f>
        <v/>
      </c>
      <c r="I72" s="4" t="inlineStr"/>
    </row>
    <row r="73">
      <c r="A73" s="4">
        <f>IF(入库登记!C73="","",入库登记!C73)</f>
        <v/>
      </c>
      <c r="B73" s="4">
        <f>IF(入库登记!C73="","",入库登记!D73)</f>
        <v/>
      </c>
      <c r="C73" s="4">
        <f>IF(入库登记!C73="","",入库登记!E73)</f>
        <v/>
      </c>
      <c r="D73" s="4">
        <f>IF(入库登记!C73="",0,入库登记!H73)</f>
        <v/>
      </c>
      <c r="E73" s="4">
        <f>IF(入库登记!C73="","",SUMIF(出库登记!$C$2:$C$51,入库登记!C73,出库登记!$D$2:$D$51))</f>
        <v/>
      </c>
      <c r="F73" s="4">
        <f>IF(入库登记!C73="","",入库登记!H73-SUMIF(出库登记!$C$2:$C$51,入库登记!C73,出库登记!$D$2:$D$51))</f>
        <v/>
      </c>
      <c r="G73" s="4">
        <f>IF(入库登记!C73="","",入库登记!G73*(入库登记!H73-SUMIF(出库登记!$C$2:$C$51,入库登记!C73,出库登记!$D$2:$D$51)))</f>
        <v/>
      </c>
      <c r="H73" s="4">
        <f>IF(入库登记!C73="","",IF((入库登记!H73-SUMIF(出库登记!$C$2:$C$51,入库登记!C73,出库登记!$D$2:$D$51))&lt;=0,"缺货",IF((入库登记!H73-SUMIF(出库登记!$C$2:$C$51,入库登记!C73,出库登记!$D$2:$D$51))&lt;5,"紧张","充足")))</f>
        <v/>
      </c>
      <c r="I73" s="4" t="inlineStr"/>
    </row>
    <row r="74">
      <c r="A74" s="4">
        <f>IF(入库登记!C74="","",入库登记!C74)</f>
        <v/>
      </c>
      <c r="B74" s="4">
        <f>IF(入库登记!C74="","",入库登记!D74)</f>
        <v/>
      </c>
      <c r="C74" s="4">
        <f>IF(入库登记!C74="","",入库登记!E74)</f>
        <v/>
      </c>
      <c r="D74" s="4">
        <f>IF(入库登记!C74="",0,入库登记!H74)</f>
        <v/>
      </c>
      <c r="E74" s="4">
        <f>IF(入库登记!C74="","",SUMIF(出库登记!$C$2:$C$51,入库登记!C74,出库登记!$D$2:$D$51))</f>
        <v/>
      </c>
      <c r="F74" s="4">
        <f>IF(入库登记!C74="","",入库登记!H74-SUMIF(出库登记!$C$2:$C$51,入库登记!C74,出库登记!$D$2:$D$51))</f>
        <v/>
      </c>
      <c r="G74" s="4">
        <f>IF(入库登记!C74="","",入库登记!G74*(入库登记!H74-SUMIF(出库登记!$C$2:$C$51,入库登记!C74,出库登记!$D$2:$D$51)))</f>
        <v/>
      </c>
      <c r="H74" s="4">
        <f>IF(入库登记!C74="","",IF((入库登记!H74-SUMIF(出库登记!$C$2:$C$51,入库登记!C74,出库登记!$D$2:$D$51))&lt;=0,"缺货",IF((入库登记!H74-SUMIF(出库登记!$C$2:$C$51,入库登记!C74,出库登记!$D$2:$D$51))&lt;5,"紧张","充足")))</f>
        <v/>
      </c>
      <c r="I74" s="4" t="inlineStr"/>
    </row>
    <row r="75">
      <c r="A75" s="4">
        <f>IF(入库登记!C75="","",入库登记!C75)</f>
        <v/>
      </c>
      <c r="B75" s="4">
        <f>IF(入库登记!C75="","",入库登记!D75)</f>
        <v/>
      </c>
      <c r="C75" s="4">
        <f>IF(入库登记!C75="","",入库登记!E75)</f>
        <v/>
      </c>
      <c r="D75" s="4">
        <f>IF(入库登记!C75="",0,入库登记!H75)</f>
        <v/>
      </c>
      <c r="E75" s="4">
        <f>IF(入库登记!C75="","",SUMIF(出库登记!$C$2:$C$51,入库登记!C75,出库登记!$D$2:$D$51))</f>
        <v/>
      </c>
      <c r="F75" s="4">
        <f>IF(入库登记!C75="","",入库登记!H75-SUMIF(出库登记!$C$2:$C$51,入库登记!C75,出库登记!$D$2:$D$51))</f>
        <v/>
      </c>
      <c r="G75" s="4">
        <f>IF(入库登记!C75="","",入库登记!G75*(入库登记!H75-SUMIF(出库登记!$C$2:$C$51,入库登记!C75,出库登记!$D$2:$D$51)))</f>
        <v/>
      </c>
      <c r="H75" s="4">
        <f>IF(入库登记!C75="","",IF((入库登记!H75-SUMIF(出库登记!$C$2:$C$51,入库登记!C75,出库登记!$D$2:$D$51))&lt;=0,"缺货",IF((入库登记!H75-SUMIF(出库登记!$C$2:$C$51,入库登记!C75,出库登记!$D$2:$D$51))&lt;5,"紧张","充足")))</f>
        <v/>
      </c>
      <c r="I75" s="4" t="inlineStr"/>
    </row>
    <row r="76">
      <c r="A76" s="4">
        <f>IF(入库登记!C76="","",入库登记!C76)</f>
        <v/>
      </c>
      <c r="B76" s="4">
        <f>IF(入库登记!C76="","",入库登记!D76)</f>
        <v/>
      </c>
      <c r="C76" s="4">
        <f>IF(入库登记!C76="","",入库登记!E76)</f>
        <v/>
      </c>
      <c r="D76" s="4">
        <f>IF(入库登记!C76="",0,入库登记!H76)</f>
        <v/>
      </c>
      <c r="E76" s="4">
        <f>IF(入库登记!C76="","",SUMIF(出库登记!$C$2:$C$51,入库登记!C76,出库登记!$D$2:$D$51))</f>
        <v/>
      </c>
      <c r="F76" s="4">
        <f>IF(入库登记!C76="","",入库登记!H76-SUMIF(出库登记!$C$2:$C$51,入库登记!C76,出库登记!$D$2:$D$51))</f>
        <v/>
      </c>
      <c r="G76" s="4">
        <f>IF(入库登记!C76="","",入库登记!G76*(入库登记!H76-SUMIF(出库登记!$C$2:$C$51,入库登记!C76,出库登记!$D$2:$D$51)))</f>
        <v/>
      </c>
      <c r="H76" s="4">
        <f>IF(入库登记!C76="","",IF((入库登记!H76-SUMIF(出库登记!$C$2:$C$51,入库登记!C76,出库登记!$D$2:$D$51))&lt;=0,"缺货",IF((入库登记!H76-SUMIF(出库登记!$C$2:$C$51,入库登记!C76,出库登记!$D$2:$D$51))&lt;5,"紧张","充足")))</f>
        <v/>
      </c>
      <c r="I76" s="4" t="inlineStr"/>
    </row>
    <row r="77">
      <c r="A77" s="4">
        <f>IF(入库登记!C77="","",入库登记!C77)</f>
        <v/>
      </c>
      <c r="B77" s="4">
        <f>IF(入库登记!C77="","",入库登记!D77)</f>
        <v/>
      </c>
      <c r="C77" s="4">
        <f>IF(入库登记!C77="","",入库登记!E77)</f>
        <v/>
      </c>
      <c r="D77" s="4">
        <f>IF(入库登记!C77="",0,入库登记!H77)</f>
        <v/>
      </c>
      <c r="E77" s="4">
        <f>IF(入库登记!C77="","",SUMIF(出库登记!$C$2:$C$51,入库登记!C77,出库登记!$D$2:$D$51))</f>
        <v/>
      </c>
      <c r="F77" s="4">
        <f>IF(入库登记!C77="","",入库登记!H77-SUMIF(出库登记!$C$2:$C$51,入库登记!C77,出库登记!$D$2:$D$51))</f>
        <v/>
      </c>
      <c r="G77" s="4">
        <f>IF(入库登记!C77="","",入库登记!G77*(入库登记!H77-SUMIF(出库登记!$C$2:$C$51,入库登记!C77,出库登记!$D$2:$D$51)))</f>
        <v/>
      </c>
      <c r="H77" s="4">
        <f>IF(入库登记!C77="","",IF((入库登记!H77-SUMIF(出库登记!$C$2:$C$51,入库登记!C77,出库登记!$D$2:$D$51))&lt;=0,"缺货",IF((入库登记!H77-SUMIF(出库登记!$C$2:$C$51,入库登记!C77,出库登记!$D$2:$D$51))&lt;5,"紧张","充足")))</f>
        <v/>
      </c>
      <c r="I77" s="4" t="inlineStr"/>
    </row>
    <row r="78">
      <c r="A78" s="4">
        <f>IF(入库登记!C78="","",入库登记!C78)</f>
        <v/>
      </c>
      <c r="B78" s="4">
        <f>IF(入库登记!C78="","",入库登记!D78)</f>
        <v/>
      </c>
      <c r="C78" s="4">
        <f>IF(入库登记!C78="","",入库登记!E78)</f>
        <v/>
      </c>
      <c r="D78" s="4">
        <f>IF(入库登记!C78="",0,入库登记!H78)</f>
        <v/>
      </c>
      <c r="E78" s="4">
        <f>IF(入库登记!C78="","",SUMIF(出库登记!$C$2:$C$51,入库登记!C78,出库登记!$D$2:$D$51))</f>
        <v/>
      </c>
      <c r="F78" s="4">
        <f>IF(入库登记!C78="","",入库登记!H78-SUMIF(出库登记!$C$2:$C$51,入库登记!C78,出库登记!$D$2:$D$51))</f>
        <v/>
      </c>
      <c r="G78" s="4">
        <f>IF(入库登记!C78="","",入库登记!G78*(入库登记!H78-SUMIF(出库登记!$C$2:$C$51,入库登记!C78,出库登记!$D$2:$D$51)))</f>
        <v/>
      </c>
      <c r="H78" s="4">
        <f>IF(入库登记!C78="","",IF((入库登记!H78-SUMIF(出库登记!$C$2:$C$51,入库登记!C78,出库登记!$D$2:$D$51))&lt;=0,"缺货",IF((入库登记!H78-SUMIF(出库登记!$C$2:$C$51,入库登记!C78,出库登记!$D$2:$D$51))&lt;5,"紧张","充足")))</f>
        <v/>
      </c>
      <c r="I78" s="4" t="inlineStr"/>
    </row>
    <row r="79">
      <c r="A79" s="4">
        <f>IF(入库登记!C79="","",入库登记!C79)</f>
        <v/>
      </c>
      <c r="B79" s="4">
        <f>IF(入库登记!C79="","",入库登记!D79)</f>
        <v/>
      </c>
      <c r="C79" s="4">
        <f>IF(入库登记!C79="","",入库登记!E79)</f>
        <v/>
      </c>
      <c r="D79" s="4">
        <f>IF(入库登记!C79="",0,入库登记!H79)</f>
        <v/>
      </c>
      <c r="E79" s="4">
        <f>IF(入库登记!C79="","",SUMIF(出库登记!$C$2:$C$51,入库登记!C79,出库登记!$D$2:$D$51))</f>
        <v/>
      </c>
      <c r="F79" s="4">
        <f>IF(入库登记!C79="","",入库登记!H79-SUMIF(出库登记!$C$2:$C$51,入库登记!C79,出库登记!$D$2:$D$51))</f>
        <v/>
      </c>
      <c r="G79" s="4">
        <f>IF(入库登记!C79="","",入库登记!G79*(入库登记!H79-SUMIF(出库登记!$C$2:$C$51,入库登记!C79,出库登记!$D$2:$D$51)))</f>
        <v/>
      </c>
      <c r="H79" s="4">
        <f>IF(入库登记!C79="","",IF((入库登记!H79-SUMIF(出库登记!$C$2:$C$51,入库登记!C79,出库登记!$D$2:$D$51))&lt;=0,"缺货",IF((入库登记!H79-SUMIF(出库登记!$C$2:$C$51,入库登记!C79,出库登记!$D$2:$D$51))&lt;5,"紧张","充足")))</f>
        <v/>
      </c>
      <c r="I79" s="4" t="inlineStr"/>
    </row>
    <row r="80">
      <c r="A80" s="4">
        <f>IF(入库登记!C80="","",入库登记!C80)</f>
        <v/>
      </c>
      <c r="B80" s="4">
        <f>IF(入库登记!C80="","",入库登记!D80)</f>
        <v/>
      </c>
      <c r="C80" s="4">
        <f>IF(入库登记!C80="","",入库登记!E80)</f>
        <v/>
      </c>
      <c r="D80" s="4">
        <f>IF(入库登记!C80="",0,入库登记!H80)</f>
        <v/>
      </c>
      <c r="E80" s="4">
        <f>IF(入库登记!C80="","",SUMIF(出库登记!$C$2:$C$51,入库登记!C80,出库登记!$D$2:$D$51))</f>
        <v/>
      </c>
      <c r="F80" s="4">
        <f>IF(入库登记!C80="","",入库登记!H80-SUMIF(出库登记!$C$2:$C$51,入库登记!C80,出库登记!$D$2:$D$51))</f>
        <v/>
      </c>
      <c r="G80" s="4">
        <f>IF(入库登记!C80="","",入库登记!G80*(入库登记!H80-SUMIF(出库登记!$C$2:$C$51,入库登记!C80,出库登记!$D$2:$D$51)))</f>
        <v/>
      </c>
      <c r="H80" s="4">
        <f>IF(入库登记!C80="","",IF((入库登记!H80-SUMIF(出库登记!$C$2:$C$51,入库登记!C80,出库登记!$D$2:$D$51))&lt;=0,"缺货",IF((入库登记!H80-SUMIF(出库登记!$C$2:$C$51,入库登记!C80,出库登记!$D$2:$D$51))&lt;5,"紧张","充足")))</f>
        <v/>
      </c>
      <c r="I80" s="4" t="inlineStr"/>
    </row>
    <row r="81">
      <c r="A81" s="4">
        <f>IF(入库登记!C81="","",入库登记!C81)</f>
        <v/>
      </c>
      <c r="B81" s="4">
        <f>IF(入库登记!C81="","",入库登记!D81)</f>
        <v/>
      </c>
      <c r="C81" s="4">
        <f>IF(入库登记!C81="","",入库登记!E81)</f>
        <v/>
      </c>
      <c r="D81" s="4">
        <f>IF(入库登记!C81="",0,入库登记!H81)</f>
        <v/>
      </c>
      <c r="E81" s="4">
        <f>IF(入库登记!C81="","",SUMIF(出库登记!$C$2:$C$51,入库登记!C81,出库登记!$D$2:$D$51))</f>
        <v/>
      </c>
      <c r="F81" s="4">
        <f>IF(入库登记!C81="","",入库登记!H81-SUMIF(出库登记!$C$2:$C$51,入库登记!C81,出库登记!$D$2:$D$51))</f>
        <v/>
      </c>
      <c r="G81" s="4">
        <f>IF(入库登记!C81="","",入库登记!G81*(入库登记!H81-SUMIF(出库登记!$C$2:$C$51,入库登记!C81,出库登记!$D$2:$D$51)))</f>
        <v/>
      </c>
      <c r="H81" s="4">
        <f>IF(入库登记!C81="","",IF((入库登记!H81-SUMIF(出库登记!$C$2:$C$51,入库登记!C81,出库登记!$D$2:$D$51))&lt;=0,"缺货",IF((入库登记!H81-SUMIF(出库登记!$C$2:$C$51,入库登记!C81,出库登记!$D$2:$D$51))&lt;5,"紧张","充足")))</f>
        <v/>
      </c>
      <c r="I81" s="4" t="inlineStr"/>
    </row>
    <row r="82">
      <c r="A82" s="4">
        <f>IF(入库登记!C82="","",入库登记!C82)</f>
        <v/>
      </c>
      <c r="B82" s="4">
        <f>IF(入库登记!C82="","",入库登记!D82)</f>
        <v/>
      </c>
      <c r="C82" s="4">
        <f>IF(入库登记!C82="","",入库登记!E82)</f>
        <v/>
      </c>
      <c r="D82" s="4">
        <f>IF(入库登记!C82="",0,入库登记!H82)</f>
        <v/>
      </c>
      <c r="E82" s="4">
        <f>IF(入库登记!C82="","",SUMIF(出库登记!$C$2:$C$51,入库登记!C82,出库登记!$D$2:$D$51))</f>
        <v/>
      </c>
      <c r="F82" s="4">
        <f>IF(入库登记!C82="","",入库登记!H82-SUMIF(出库登记!$C$2:$C$51,入库登记!C82,出库登记!$D$2:$D$51))</f>
        <v/>
      </c>
      <c r="G82" s="4">
        <f>IF(入库登记!C82="","",入库登记!G82*(入库登记!H82-SUMIF(出库登记!$C$2:$C$51,入库登记!C82,出库登记!$D$2:$D$51)))</f>
        <v/>
      </c>
      <c r="H82" s="4">
        <f>IF(入库登记!C82="","",IF((入库登记!H82-SUMIF(出库登记!$C$2:$C$51,入库登记!C82,出库登记!$D$2:$D$51))&lt;=0,"缺货",IF((入库登记!H82-SUMIF(出库登记!$C$2:$C$51,入库登记!C82,出库登记!$D$2:$D$51))&lt;5,"紧张","充足")))</f>
        <v/>
      </c>
      <c r="I82" s="4" t="inlineStr"/>
    </row>
    <row r="83">
      <c r="A83" s="4">
        <f>IF(入库登记!C83="","",入库登记!C83)</f>
        <v/>
      </c>
      <c r="B83" s="4">
        <f>IF(入库登记!C83="","",入库登记!D83)</f>
        <v/>
      </c>
      <c r="C83" s="4">
        <f>IF(入库登记!C83="","",入库登记!E83)</f>
        <v/>
      </c>
      <c r="D83" s="4">
        <f>IF(入库登记!C83="",0,入库登记!H83)</f>
        <v/>
      </c>
      <c r="E83" s="4">
        <f>IF(入库登记!C83="","",SUMIF(出库登记!$C$2:$C$51,入库登记!C83,出库登记!$D$2:$D$51))</f>
        <v/>
      </c>
      <c r="F83" s="4">
        <f>IF(入库登记!C83="","",入库登记!H83-SUMIF(出库登记!$C$2:$C$51,入库登记!C83,出库登记!$D$2:$D$51))</f>
        <v/>
      </c>
      <c r="G83" s="4">
        <f>IF(入库登记!C83="","",入库登记!G83*(入库登记!H83-SUMIF(出库登记!$C$2:$C$51,入库登记!C83,出库登记!$D$2:$D$51)))</f>
        <v/>
      </c>
      <c r="H83" s="4">
        <f>IF(入库登记!C83="","",IF((入库登记!H83-SUMIF(出库登记!$C$2:$C$51,入库登记!C83,出库登记!$D$2:$D$51))&lt;=0,"缺货",IF((入库登记!H83-SUMIF(出库登记!$C$2:$C$51,入库登记!C83,出库登记!$D$2:$D$51))&lt;5,"紧张","充足")))</f>
        <v/>
      </c>
      <c r="I83" s="4" t="inlineStr"/>
    </row>
    <row r="84">
      <c r="A84" s="4">
        <f>IF(入库登记!C84="","",入库登记!C84)</f>
        <v/>
      </c>
      <c r="B84" s="4">
        <f>IF(入库登记!C84="","",入库登记!D84)</f>
        <v/>
      </c>
      <c r="C84" s="4">
        <f>IF(入库登记!C84="","",入库登记!E84)</f>
        <v/>
      </c>
      <c r="D84" s="4">
        <f>IF(入库登记!C84="",0,入库登记!H84)</f>
        <v/>
      </c>
      <c r="E84" s="4">
        <f>IF(入库登记!C84="","",SUMIF(出库登记!$C$2:$C$51,入库登记!C84,出库登记!$D$2:$D$51))</f>
        <v/>
      </c>
      <c r="F84" s="4">
        <f>IF(入库登记!C84="","",入库登记!H84-SUMIF(出库登记!$C$2:$C$51,入库登记!C84,出库登记!$D$2:$D$51))</f>
        <v/>
      </c>
      <c r="G84" s="4">
        <f>IF(入库登记!C84="","",入库登记!G84*(入库登记!H84-SUMIF(出库登记!$C$2:$C$51,入库登记!C84,出库登记!$D$2:$D$51)))</f>
        <v/>
      </c>
      <c r="H84" s="4">
        <f>IF(入库登记!C84="","",IF((入库登记!H84-SUMIF(出库登记!$C$2:$C$51,入库登记!C84,出库登记!$D$2:$D$51))&lt;=0,"缺货",IF((入库登记!H84-SUMIF(出库登记!$C$2:$C$51,入库登记!C84,出库登记!$D$2:$D$51))&lt;5,"紧张","充足")))</f>
        <v/>
      </c>
      <c r="I84" s="4" t="inlineStr"/>
    </row>
    <row r="85">
      <c r="A85" s="4">
        <f>IF(入库登记!C85="","",入库登记!C85)</f>
        <v/>
      </c>
      <c r="B85" s="4">
        <f>IF(入库登记!C85="","",入库登记!D85)</f>
        <v/>
      </c>
      <c r="C85" s="4">
        <f>IF(入库登记!C85="","",入库登记!E85)</f>
        <v/>
      </c>
      <c r="D85" s="4">
        <f>IF(入库登记!C85="",0,入库登记!H85)</f>
        <v/>
      </c>
      <c r="E85" s="4">
        <f>IF(入库登记!C85="","",SUMIF(出库登记!$C$2:$C$51,入库登记!C85,出库登记!$D$2:$D$51))</f>
        <v/>
      </c>
      <c r="F85" s="4">
        <f>IF(入库登记!C85="","",入库登记!H85-SUMIF(出库登记!$C$2:$C$51,入库登记!C85,出库登记!$D$2:$D$51))</f>
        <v/>
      </c>
      <c r="G85" s="4">
        <f>IF(入库登记!C85="","",入库登记!G85*(入库登记!H85-SUMIF(出库登记!$C$2:$C$51,入库登记!C85,出库登记!$D$2:$D$51)))</f>
        <v/>
      </c>
      <c r="H85" s="4">
        <f>IF(入库登记!C85="","",IF((入库登记!H85-SUMIF(出库登记!$C$2:$C$51,入库登记!C85,出库登记!$D$2:$D$51))&lt;=0,"缺货",IF((入库登记!H85-SUMIF(出库登记!$C$2:$C$51,入库登记!C85,出库登记!$D$2:$D$51))&lt;5,"紧张","充足")))</f>
        <v/>
      </c>
      <c r="I85" s="4" t="inlineStr"/>
    </row>
    <row r="86">
      <c r="A86" s="4">
        <f>IF(入库登记!C86="","",入库登记!C86)</f>
        <v/>
      </c>
      <c r="B86" s="4">
        <f>IF(入库登记!C86="","",入库登记!D86)</f>
        <v/>
      </c>
      <c r="C86" s="4">
        <f>IF(入库登记!C86="","",入库登记!E86)</f>
        <v/>
      </c>
      <c r="D86" s="4">
        <f>IF(入库登记!C86="",0,入库登记!H86)</f>
        <v/>
      </c>
      <c r="E86" s="4">
        <f>IF(入库登记!C86="","",SUMIF(出库登记!$C$2:$C$51,入库登记!C86,出库登记!$D$2:$D$51))</f>
        <v/>
      </c>
      <c r="F86" s="4">
        <f>IF(入库登记!C86="","",入库登记!H86-SUMIF(出库登记!$C$2:$C$51,入库登记!C86,出库登记!$D$2:$D$51))</f>
        <v/>
      </c>
      <c r="G86" s="4">
        <f>IF(入库登记!C86="","",入库登记!G86*(入库登记!H86-SUMIF(出库登记!$C$2:$C$51,入库登记!C86,出库登记!$D$2:$D$51)))</f>
        <v/>
      </c>
      <c r="H86" s="4">
        <f>IF(入库登记!C86="","",IF((入库登记!H86-SUMIF(出库登记!$C$2:$C$51,入库登记!C86,出库登记!$D$2:$D$51))&lt;=0,"缺货",IF((入库登记!H86-SUMIF(出库登记!$C$2:$C$51,入库登记!C86,出库登记!$D$2:$D$51))&lt;5,"紧张","充足")))</f>
        <v/>
      </c>
      <c r="I86" s="4" t="inlineStr"/>
    </row>
    <row r="87">
      <c r="A87" s="4">
        <f>IF(入库登记!C87="","",入库登记!C87)</f>
        <v/>
      </c>
      <c r="B87" s="4">
        <f>IF(入库登记!C87="","",入库登记!D87)</f>
        <v/>
      </c>
      <c r="C87" s="4">
        <f>IF(入库登记!C87="","",入库登记!E87)</f>
        <v/>
      </c>
      <c r="D87" s="4">
        <f>IF(入库登记!C87="",0,入库登记!H87)</f>
        <v/>
      </c>
      <c r="E87" s="4">
        <f>IF(入库登记!C87="","",SUMIF(出库登记!$C$2:$C$51,入库登记!C87,出库登记!$D$2:$D$51))</f>
        <v/>
      </c>
      <c r="F87" s="4">
        <f>IF(入库登记!C87="","",入库登记!H87-SUMIF(出库登记!$C$2:$C$51,入库登记!C87,出库登记!$D$2:$D$51))</f>
        <v/>
      </c>
      <c r="G87" s="4">
        <f>IF(入库登记!C87="","",入库登记!G87*(入库登记!H87-SUMIF(出库登记!$C$2:$C$51,入库登记!C87,出库登记!$D$2:$D$51)))</f>
        <v/>
      </c>
      <c r="H87" s="4">
        <f>IF(入库登记!C87="","",IF((入库登记!H87-SUMIF(出库登记!$C$2:$C$51,入库登记!C87,出库登记!$D$2:$D$51))&lt;=0,"缺货",IF((入库登记!H87-SUMIF(出库登记!$C$2:$C$51,入库登记!C87,出库登记!$D$2:$D$51))&lt;5,"紧张","充足")))</f>
        <v/>
      </c>
      <c r="I87" s="4" t="inlineStr"/>
    </row>
    <row r="88">
      <c r="A88" s="4">
        <f>IF(入库登记!C88="","",入库登记!C88)</f>
        <v/>
      </c>
      <c r="B88" s="4">
        <f>IF(入库登记!C88="","",入库登记!D88)</f>
        <v/>
      </c>
      <c r="C88" s="4">
        <f>IF(入库登记!C88="","",入库登记!E88)</f>
        <v/>
      </c>
      <c r="D88" s="4">
        <f>IF(入库登记!C88="",0,入库登记!H88)</f>
        <v/>
      </c>
      <c r="E88" s="4">
        <f>IF(入库登记!C88="","",SUMIF(出库登记!$C$2:$C$51,入库登记!C88,出库登记!$D$2:$D$51))</f>
        <v/>
      </c>
      <c r="F88" s="4">
        <f>IF(入库登记!C88="","",入库登记!H88-SUMIF(出库登记!$C$2:$C$51,入库登记!C88,出库登记!$D$2:$D$51))</f>
        <v/>
      </c>
      <c r="G88" s="4">
        <f>IF(入库登记!C88="","",入库登记!G88*(入库登记!H88-SUMIF(出库登记!$C$2:$C$51,入库登记!C88,出库登记!$D$2:$D$51)))</f>
        <v/>
      </c>
      <c r="H88" s="4">
        <f>IF(入库登记!C88="","",IF((入库登记!H88-SUMIF(出库登记!$C$2:$C$51,入库登记!C88,出库登记!$D$2:$D$51))&lt;=0,"缺货",IF((入库登记!H88-SUMIF(出库登记!$C$2:$C$51,入库登记!C88,出库登记!$D$2:$D$51))&lt;5,"紧张","充足")))</f>
        <v/>
      </c>
      <c r="I88" s="4" t="inlineStr"/>
    </row>
    <row r="89">
      <c r="A89" s="4">
        <f>IF(入库登记!C89="","",入库登记!C89)</f>
        <v/>
      </c>
      <c r="B89" s="4">
        <f>IF(入库登记!C89="","",入库登记!D89)</f>
        <v/>
      </c>
      <c r="C89" s="4">
        <f>IF(入库登记!C89="","",入库登记!E89)</f>
        <v/>
      </c>
      <c r="D89" s="4">
        <f>IF(入库登记!C89="",0,入库登记!H89)</f>
        <v/>
      </c>
      <c r="E89" s="4">
        <f>IF(入库登记!C89="","",SUMIF(出库登记!$C$2:$C$51,入库登记!C89,出库登记!$D$2:$D$51))</f>
        <v/>
      </c>
      <c r="F89" s="4">
        <f>IF(入库登记!C89="","",入库登记!H89-SUMIF(出库登记!$C$2:$C$51,入库登记!C89,出库登记!$D$2:$D$51))</f>
        <v/>
      </c>
      <c r="G89" s="4">
        <f>IF(入库登记!C89="","",入库登记!G89*(入库登记!H89-SUMIF(出库登记!$C$2:$C$51,入库登记!C89,出库登记!$D$2:$D$51)))</f>
        <v/>
      </c>
      <c r="H89" s="4">
        <f>IF(入库登记!C89="","",IF((入库登记!H89-SUMIF(出库登记!$C$2:$C$51,入库登记!C89,出库登记!$D$2:$D$51))&lt;=0,"缺货",IF((入库登记!H89-SUMIF(出库登记!$C$2:$C$51,入库登记!C89,出库登记!$D$2:$D$51))&lt;5,"紧张","充足")))</f>
        <v/>
      </c>
      <c r="I89" s="4" t="inlineStr"/>
    </row>
    <row r="90">
      <c r="A90" s="4">
        <f>IF(入库登记!C90="","",入库登记!C90)</f>
        <v/>
      </c>
      <c r="B90" s="4">
        <f>IF(入库登记!C90="","",入库登记!D90)</f>
        <v/>
      </c>
      <c r="C90" s="4">
        <f>IF(入库登记!C90="","",入库登记!E90)</f>
        <v/>
      </c>
      <c r="D90" s="4">
        <f>IF(入库登记!C90="",0,入库登记!H90)</f>
        <v/>
      </c>
      <c r="E90" s="4">
        <f>IF(入库登记!C90="","",SUMIF(出库登记!$C$2:$C$51,入库登记!C90,出库登记!$D$2:$D$51))</f>
        <v/>
      </c>
      <c r="F90" s="4">
        <f>IF(入库登记!C90="","",入库登记!H90-SUMIF(出库登记!$C$2:$C$51,入库登记!C90,出库登记!$D$2:$D$51))</f>
        <v/>
      </c>
      <c r="G90" s="4">
        <f>IF(入库登记!C90="","",入库登记!G90*(入库登记!H90-SUMIF(出库登记!$C$2:$C$51,入库登记!C90,出库登记!$D$2:$D$51)))</f>
        <v/>
      </c>
      <c r="H90" s="4">
        <f>IF(入库登记!C90="","",IF((入库登记!H90-SUMIF(出库登记!$C$2:$C$51,入库登记!C90,出库登记!$D$2:$D$51))&lt;=0,"缺货",IF((入库登记!H90-SUMIF(出库登记!$C$2:$C$51,入库登记!C90,出库登记!$D$2:$D$51))&lt;5,"紧张","充足")))</f>
        <v/>
      </c>
      <c r="I90" s="4" t="inlineStr"/>
    </row>
    <row r="91">
      <c r="A91" s="4">
        <f>IF(入库登记!C91="","",入库登记!C91)</f>
        <v/>
      </c>
      <c r="B91" s="4">
        <f>IF(入库登记!C91="","",入库登记!D91)</f>
        <v/>
      </c>
      <c r="C91" s="4">
        <f>IF(入库登记!C91="","",入库登记!E91)</f>
        <v/>
      </c>
      <c r="D91" s="4">
        <f>IF(入库登记!C91="",0,入库登记!H91)</f>
        <v/>
      </c>
      <c r="E91" s="4">
        <f>IF(入库登记!C91="","",SUMIF(出库登记!$C$2:$C$51,入库登记!C91,出库登记!$D$2:$D$51))</f>
        <v/>
      </c>
      <c r="F91" s="4">
        <f>IF(入库登记!C91="","",入库登记!H91-SUMIF(出库登记!$C$2:$C$51,入库登记!C91,出库登记!$D$2:$D$51))</f>
        <v/>
      </c>
      <c r="G91" s="4">
        <f>IF(入库登记!C91="","",入库登记!G91*(入库登记!H91-SUMIF(出库登记!$C$2:$C$51,入库登记!C91,出库登记!$D$2:$D$51)))</f>
        <v/>
      </c>
      <c r="H91" s="4">
        <f>IF(入库登记!C91="","",IF((入库登记!H91-SUMIF(出库登记!$C$2:$C$51,入库登记!C91,出库登记!$D$2:$D$51))&lt;=0,"缺货",IF((入库登记!H91-SUMIF(出库登记!$C$2:$C$51,入库登记!C91,出库登记!$D$2:$D$51))&lt;5,"紧张","充足")))</f>
        <v/>
      </c>
      <c r="I91" s="4" t="inlineStr"/>
    </row>
    <row r="92">
      <c r="A92" s="4">
        <f>IF(入库登记!C92="","",入库登记!C92)</f>
        <v/>
      </c>
      <c r="B92" s="4">
        <f>IF(入库登记!C92="","",入库登记!D92)</f>
        <v/>
      </c>
      <c r="C92" s="4">
        <f>IF(入库登记!C92="","",入库登记!E92)</f>
        <v/>
      </c>
      <c r="D92" s="4">
        <f>IF(入库登记!C92="",0,入库登记!H92)</f>
        <v/>
      </c>
      <c r="E92" s="4">
        <f>IF(入库登记!C92="","",SUMIF(出库登记!$C$2:$C$51,入库登记!C92,出库登记!$D$2:$D$51))</f>
        <v/>
      </c>
      <c r="F92" s="4">
        <f>IF(入库登记!C92="","",入库登记!H92-SUMIF(出库登记!$C$2:$C$51,入库登记!C92,出库登记!$D$2:$D$51))</f>
        <v/>
      </c>
      <c r="G92" s="4">
        <f>IF(入库登记!C92="","",入库登记!G92*(入库登记!H92-SUMIF(出库登记!$C$2:$C$51,入库登记!C92,出库登记!$D$2:$D$51)))</f>
        <v/>
      </c>
      <c r="H92" s="4">
        <f>IF(入库登记!C92="","",IF((入库登记!H92-SUMIF(出库登记!$C$2:$C$51,入库登记!C92,出库登记!$D$2:$D$51))&lt;=0,"缺货",IF((入库登记!H92-SUMIF(出库登记!$C$2:$C$51,入库登记!C92,出库登记!$D$2:$D$51))&lt;5,"紧张","充足")))</f>
        <v/>
      </c>
      <c r="I92" s="4" t="inlineStr"/>
    </row>
    <row r="93">
      <c r="A93" s="4">
        <f>IF(入库登记!C93="","",入库登记!C93)</f>
        <v/>
      </c>
      <c r="B93" s="4">
        <f>IF(入库登记!C93="","",入库登记!D93)</f>
        <v/>
      </c>
      <c r="C93" s="4">
        <f>IF(入库登记!C93="","",入库登记!E93)</f>
        <v/>
      </c>
      <c r="D93" s="4">
        <f>IF(入库登记!C93="",0,入库登记!H93)</f>
        <v/>
      </c>
      <c r="E93" s="4">
        <f>IF(入库登记!C93="","",SUMIF(出库登记!$C$2:$C$51,入库登记!C93,出库登记!$D$2:$D$51))</f>
        <v/>
      </c>
      <c r="F93" s="4">
        <f>IF(入库登记!C93="","",入库登记!H93-SUMIF(出库登记!$C$2:$C$51,入库登记!C93,出库登记!$D$2:$D$51))</f>
        <v/>
      </c>
      <c r="G93" s="4">
        <f>IF(入库登记!C93="","",入库登记!G93*(入库登记!H93-SUMIF(出库登记!$C$2:$C$51,入库登记!C93,出库登记!$D$2:$D$51)))</f>
        <v/>
      </c>
      <c r="H93" s="4">
        <f>IF(入库登记!C93="","",IF((入库登记!H93-SUMIF(出库登记!$C$2:$C$51,入库登记!C93,出库登记!$D$2:$D$51))&lt;=0,"缺货",IF((入库登记!H93-SUMIF(出库登记!$C$2:$C$51,入库登记!C93,出库登记!$D$2:$D$51))&lt;5,"紧张","充足")))</f>
        <v/>
      </c>
      <c r="I93" s="4" t="inlineStr"/>
    </row>
    <row r="94">
      <c r="A94" s="4">
        <f>IF(入库登记!C94="","",入库登记!C94)</f>
        <v/>
      </c>
      <c r="B94" s="4">
        <f>IF(入库登记!C94="","",入库登记!D94)</f>
        <v/>
      </c>
      <c r="C94" s="4">
        <f>IF(入库登记!C94="","",入库登记!E94)</f>
        <v/>
      </c>
      <c r="D94" s="4">
        <f>IF(入库登记!C94="",0,入库登记!H94)</f>
        <v/>
      </c>
      <c r="E94" s="4">
        <f>IF(入库登记!C94="","",SUMIF(出库登记!$C$2:$C$51,入库登记!C94,出库登记!$D$2:$D$51))</f>
        <v/>
      </c>
      <c r="F94" s="4">
        <f>IF(入库登记!C94="","",入库登记!H94-SUMIF(出库登记!$C$2:$C$51,入库登记!C94,出库登记!$D$2:$D$51))</f>
        <v/>
      </c>
      <c r="G94" s="4">
        <f>IF(入库登记!C94="","",入库登记!G94*(入库登记!H94-SUMIF(出库登记!$C$2:$C$51,入库登记!C94,出库登记!$D$2:$D$51)))</f>
        <v/>
      </c>
      <c r="H94" s="4">
        <f>IF(入库登记!C94="","",IF((入库登记!H94-SUMIF(出库登记!$C$2:$C$51,入库登记!C94,出库登记!$D$2:$D$51))&lt;=0,"缺货",IF((入库登记!H94-SUMIF(出库登记!$C$2:$C$51,入库登记!C94,出库登记!$D$2:$D$51))&lt;5,"紧张","充足")))</f>
        <v/>
      </c>
      <c r="I94" s="4" t="inlineStr"/>
    </row>
    <row r="95">
      <c r="A95" s="4">
        <f>IF(入库登记!C95="","",入库登记!C95)</f>
        <v/>
      </c>
      <c r="B95" s="4">
        <f>IF(入库登记!C95="","",入库登记!D95)</f>
        <v/>
      </c>
      <c r="C95" s="4">
        <f>IF(入库登记!C95="","",入库登记!E95)</f>
        <v/>
      </c>
      <c r="D95" s="4">
        <f>IF(入库登记!C95="",0,入库登记!H95)</f>
        <v/>
      </c>
      <c r="E95" s="4">
        <f>IF(入库登记!C95="","",SUMIF(出库登记!$C$2:$C$51,入库登记!C95,出库登记!$D$2:$D$51))</f>
        <v/>
      </c>
      <c r="F95" s="4">
        <f>IF(入库登记!C95="","",入库登记!H95-SUMIF(出库登记!$C$2:$C$51,入库登记!C95,出库登记!$D$2:$D$51))</f>
        <v/>
      </c>
      <c r="G95" s="4">
        <f>IF(入库登记!C95="","",入库登记!G95*(入库登记!H95-SUMIF(出库登记!$C$2:$C$51,入库登记!C95,出库登记!$D$2:$D$51)))</f>
        <v/>
      </c>
      <c r="H95" s="4">
        <f>IF(入库登记!C95="","",IF((入库登记!H95-SUMIF(出库登记!$C$2:$C$51,入库登记!C95,出库登记!$D$2:$D$51))&lt;=0,"缺货",IF((入库登记!H95-SUMIF(出库登记!$C$2:$C$51,入库登记!C95,出库登记!$D$2:$D$51))&lt;5,"紧张","充足")))</f>
        <v/>
      </c>
      <c r="I95" s="4" t="inlineStr"/>
    </row>
    <row r="96">
      <c r="A96" s="4">
        <f>IF(入库登记!C96="","",入库登记!C96)</f>
        <v/>
      </c>
      <c r="B96" s="4">
        <f>IF(入库登记!C96="","",入库登记!D96)</f>
        <v/>
      </c>
      <c r="C96" s="4">
        <f>IF(入库登记!C96="","",入库登记!E96)</f>
        <v/>
      </c>
      <c r="D96" s="4">
        <f>IF(入库登记!C96="",0,入库登记!H96)</f>
        <v/>
      </c>
      <c r="E96" s="4">
        <f>IF(入库登记!C96="","",SUMIF(出库登记!$C$2:$C$51,入库登记!C96,出库登记!$D$2:$D$51))</f>
        <v/>
      </c>
      <c r="F96" s="4">
        <f>IF(入库登记!C96="","",入库登记!H96-SUMIF(出库登记!$C$2:$C$51,入库登记!C96,出库登记!$D$2:$D$51))</f>
        <v/>
      </c>
      <c r="G96" s="4">
        <f>IF(入库登记!C96="","",入库登记!G96*(入库登记!H96-SUMIF(出库登记!$C$2:$C$51,入库登记!C96,出库登记!$D$2:$D$51)))</f>
        <v/>
      </c>
      <c r="H96" s="4">
        <f>IF(入库登记!C96="","",IF((入库登记!H96-SUMIF(出库登记!$C$2:$C$51,入库登记!C96,出库登记!$D$2:$D$51))&lt;=0,"缺货",IF((入库登记!H96-SUMIF(出库登记!$C$2:$C$51,入库登记!C96,出库登记!$D$2:$D$51))&lt;5,"紧张","充足")))</f>
        <v/>
      </c>
      <c r="I96" s="4" t="inlineStr"/>
    </row>
    <row r="97">
      <c r="A97" s="4">
        <f>IF(入库登记!C97="","",入库登记!C97)</f>
        <v/>
      </c>
      <c r="B97" s="4">
        <f>IF(入库登记!C97="","",入库登记!D97)</f>
        <v/>
      </c>
      <c r="C97" s="4">
        <f>IF(入库登记!C97="","",入库登记!E97)</f>
        <v/>
      </c>
      <c r="D97" s="4">
        <f>IF(入库登记!C97="",0,入库登记!H97)</f>
        <v/>
      </c>
      <c r="E97" s="4">
        <f>IF(入库登记!C97="","",SUMIF(出库登记!$C$2:$C$51,入库登记!C97,出库登记!$D$2:$D$51))</f>
        <v/>
      </c>
      <c r="F97" s="4">
        <f>IF(入库登记!C97="","",入库登记!H97-SUMIF(出库登记!$C$2:$C$51,入库登记!C97,出库登记!$D$2:$D$51))</f>
        <v/>
      </c>
      <c r="G97" s="4">
        <f>IF(入库登记!C97="","",入库登记!G97*(入库登记!H97-SUMIF(出库登记!$C$2:$C$51,入库登记!C97,出库登记!$D$2:$D$51)))</f>
        <v/>
      </c>
      <c r="H97" s="4">
        <f>IF(入库登记!C97="","",IF((入库登记!H97-SUMIF(出库登记!$C$2:$C$51,入库登记!C97,出库登记!$D$2:$D$51))&lt;=0,"缺货",IF((入库登记!H97-SUMIF(出库登记!$C$2:$C$51,入库登记!C97,出库登记!$D$2:$D$51))&lt;5,"紧张","充足")))</f>
        <v/>
      </c>
      <c r="I97" s="4" t="inlineStr"/>
    </row>
    <row r="98">
      <c r="A98" s="4">
        <f>IF(入库登记!C98="","",入库登记!C98)</f>
        <v/>
      </c>
      <c r="B98" s="4">
        <f>IF(入库登记!C98="","",入库登记!D98)</f>
        <v/>
      </c>
      <c r="C98" s="4">
        <f>IF(入库登记!C98="","",入库登记!E98)</f>
        <v/>
      </c>
      <c r="D98" s="4">
        <f>IF(入库登记!C98="",0,入库登记!H98)</f>
        <v/>
      </c>
      <c r="E98" s="4">
        <f>IF(入库登记!C98="","",SUMIF(出库登记!$C$2:$C$51,入库登记!C98,出库登记!$D$2:$D$51))</f>
        <v/>
      </c>
      <c r="F98" s="4">
        <f>IF(入库登记!C98="","",入库登记!H98-SUMIF(出库登记!$C$2:$C$51,入库登记!C98,出库登记!$D$2:$D$51))</f>
        <v/>
      </c>
      <c r="G98" s="4">
        <f>IF(入库登记!C98="","",入库登记!G98*(入库登记!H98-SUMIF(出库登记!$C$2:$C$51,入库登记!C98,出库登记!$D$2:$D$51)))</f>
        <v/>
      </c>
      <c r="H98" s="4">
        <f>IF(入库登记!C98="","",IF((入库登记!H98-SUMIF(出库登记!$C$2:$C$51,入库登记!C98,出库登记!$D$2:$D$51))&lt;=0,"缺货",IF((入库登记!H98-SUMIF(出库登记!$C$2:$C$51,入库登记!C98,出库登记!$D$2:$D$51))&lt;5,"紧张","充足")))</f>
        <v/>
      </c>
      <c r="I98" s="4" t="inlineStr"/>
    </row>
    <row r="99">
      <c r="A99" s="4">
        <f>IF(入库登记!C99="","",入库登记!C99)</f>
        <v/>
      </c>
      <c r="B99" s="4">
        <f>IF(入库登记!C99="","",入库登记!D99)</f>
        <v/>
      </c>
      <c r="C99" s="4">
        <f>IF(入库登记!C99="","",入库登记!E99)</f>
        <v/>
      </c>
      <c r="D99" s="4">
        <f>IF(入库登记!C99="",0,入库登记!H99)</f>
        <v/>
      </c>
      <c r="E99" s="4">
        <f>IF(入库登记!C99="","",SUMIF(出库登记!$C$2:$C$51,入库登记!C99,出库登记!$D$2:$D$51))</f>
        <v/>
      </c>
      <c r="F99" s="4">
        <f>IF(入库登记!C99="","",入库登记!H99-SUMIF(出库登记!$C$2:$C$51,入库登记!C99,出库登记!$D$2:$D$51))</f>
        <v/>
      </c>
      <c r="G99" s="4">
        <f>IF(入库登记!C99="","",入库登记!G99*(入库登记!H99-SUMIF(出库登记!$C$2:$C$51,入库登记!C99,出库登记!$D$2:$D$51)))</f>
        <v/>
      </c>
      <c r="H99" s="4">
        <f>IF(入库登记!C99="","",IF((入库登记!H99-SUMIF(出库登记!$C$2:$C$51,入库登记!C99,出库登记!$D$2:$D$51))&lt;=0,"缺货",IF((入库登记!H99-SUMIF(出库登记!$C$2:$C$51,入库登记!C99,出库登记!$D$2:$D$51))&lt;5,"紧张","充足")))</f>
        <v/>
      </c>
      <c r="I99" s="4" t="inlineStr"/>
    </row>
    <row r="100">
      <c r="A100" s="4">
        <f>IF(入库登记!C100="","",入库登记!C100)</f>
        <v/>
      </c>
      <c r="B100" s="4">
        <f>IF(入库登记!C100="","",入库登记!D100)</f>
        <v/>
      </c>
      <c r="C100" s="4">
        <f>IF(入库登记!C100="","",入库登记!E100)</f>
        <v/>
      </c>
      <c r="D100" s="4">
        <f>IF(入库登记!C100="",0,入库登记!H100)</f>
        <v/>
      </c>
      <c r="E100" s="4">
        <f>IF(入库登记!C100="","",SUMIF(出库登记!$C$2:$C$51,入库登记!C100,出库登记!$D$2:$D$51))</f>
        <v/>
      </c>
      <c r="F100" s="4">
        <f>IF(入库登记!C100="","",入库登记!H100-SUMIF(出库登记!$C$2:$C$51,入库登记!C100,出库登记!$D$2:$D$51))</f>
        <v/>
      </c>
      <c r="G100" s="4">
        <f>IF(入库登记!C100="","",入库登记!G100*(入库登记!H100-SUMIF(出库登记!$C$2:$C$51,入库登记!C100,出库登记!$D$2:$D$51)))</f>
        <v/>
      </c>
      <c r="H100" s="4">
        <f>IF(入库登记!C100="","",IF((入库登记!H100-SUMIF(出库登记!$C$2:$C$51,入库登记!C100,出库登记!$D$2:$D$51))&lt;=0,"缺货",IF((入库登记!H100-SUMIF(出库登记!$C$2:$C$51,入库登记!C100,出库登记!$D$2:$D$51))&lt;5,"紧张","充足")))</f>
        <v/>
      </c>
      <c r="I100" s="4" t="inlineStr"/>
    </row>
    <row r="101">
      <c r="A101" s="4">
        <f>IF(入库登记!C101="","",入库登记!C101)</f>
        <v/>
      </c>
      <c r="B101" s="4">
        <f>IF(入库登记!C101="","",入库登记!D101)</f>
        <v/>
      </c>
      <c r="C101" s="4">
        <f>IF(入库登记!C101="","",入库登记!E101)</f>
        <v/>
      </c>
      <c r="D101" s="4">
        <f>IF(入库登记!C101="",0,入库登记!H101)</f>
        <v/>
      </c>
      <c r="E101" s="4">
        <f>IF(入库登记!C101="","",SUMIF(出库登记!$C$2:$C$51,入库登记!C101,出库登记!$D$2:$D$51))</f>
        <v/>
      </c>
      <c r="F101" s="4">
        <f>IF(入库登记!C101="","",入库登记!H101-SUMIF(出库登记!$C$2:$C$51,入库登记!C101,出库登记!$D$2:$D$51))</f>
        <v/>
      </c>
      <c r="G101" s="4">
        <f>IF(入库登记!C101="","",入库登记!G101*(入库登记!H101-SUMIF(出库登记!$C$2:$C$51,入库登记!C101,出库登记!$D$2:$D$51)))</f>
        <v/>
      </c>
      <c r="H101" s="4">
        <f>IF(入库登记!C101="","",IF((入库登记!H101-SUMIF(出库登记!$C$2:$C$51,入库登记!C101,出库登记!$D$2:$D$51))&lt;=0,"缺货",IF((入库登记!H101-SUMIF(出库登记!$C$2:$C$51,入库登记!C101,出库登记!$D$2:$D$51))&lt;5,"紧张","充足")))</f>
        <v/>
      </c>
      <c r="I101" s="4" t="inlineStr"/>
    </row>
    <row r="102">
      <c r="A102" s="4">
        <f>IF(入库登记!C102="","",入库登记!C102)</f>
        <v/>
      </c>
      <c r="B102" s="4">
        <f>IF(入库登记!C102="","",入库登记!D102)</f>
        <v/>
      </c>
      <c r="C102" s="4">
        <f>IF(入库登记!C102="","",入库登记!E102)</f>
        <v/>
      </c>
      <c r="D102" s="4">
        <f>IF(入库登记!C102="",0,入库登记!H102)</f>
        <v/>
      </c>
      <c r="E102" s="4">
        <f>IF(入库登记!C102="","",SUMIF(出库登记!$C$2:$C$51,入库登记!C102,出库登记!$D$2:$D$51))</f>
        <v/>
      </c>
      <c r="F102" s="4">
        <f>IF(入库登记!C102="","",入库登记!H102-SUMIF(出库登记!$C$2:$C$51,入库登记!C102,出库登记!$D$2:$D$51))</f>
        <v/>
      </c>
      <c r="G102" s="4">
        <f>IF(入库登记!C102="","",入库登记!G102*(入库登记!H102-SUMIF(出库登记!$C$2:$C$51,入库登记!C102,出库登记!$D$2:$D$51)))</f>
        <v/>
      </c>
      <c r="H102" s="4">
        <f>IF(入库登记!C102="","",IF((入库登记!H102-SUMIF(出库登记!$C$2:$C$51,入库登记!C102,出库登记!$D$2:$D$51))&lt;=0,"缺货",IF((入库登记!H102-SUMIF(出库登记!$C$2:$C$51,入库登记!C102,出库登记!$D$2:$D$51))&lt;5,"紧张","充足")))</f>
        <v/>
      </c>
      <c r="I102" s="4" t="inlineStr"/>
    </row>
    <row r="103">
      <c r="A103" s="4">
        <f>IF(入库登记!C103="","",入库登记!C103)</f>
        <v/>
      </c>
      <c r="B103" s="4">
        <f>IF(入库登记!C103="","",入库登记!D103)</f>
        <v/>
      </c>
      <c r="C103" s="4">
        <f>IF(入库登记!C103="","",入库登记!E103)</f>
        <v/>
      </c>
      <c r="D103" s="4">
        <f>IF(入库登记!C103="",0,入库登记!H103)</f>
        <v/>
      </c>
      <c r="E103" s="4">
        <f>IF(入库登记!C103="","",SUMIF(出库登记!$C$2:$C$51,入库登记!C103,出库登记!$D$2:$D$51))</f>
        <v/>
      </c>
      <c r="F103" s="4">
        <f>IF(入库登记!C103="","",入库登记!H103-SUMIF(出库登记!$C$2:$C$51,入库登记!C103,出库登记!$D$2:$D$51))</f>
        <v/>
      </c>
      <c r="G103" s="4">
        <f>IF(入库登记!C103="","",入库登记!G103*(入库登记!H103-SUMIF(出库登记!$C$2:$C$51,入库登记!C103,出库登记!$D$2:$D$51)))</f>
        <v/>
      </c>
      <c r="H103" s="4">
        <f>IF(入库登记!C103="","",IF((入库登记!H103-SUMIF(出库登记!$C$2:$C$51,入库登记!C103,出库登记!$D$2:$D$51))&lt;=0,"缺货",IF((入库登记!H103-SUMIF(出库登记!$C$2:$C$51,入库登记!C103,出库登记!$D$2:$D$51))&lt;5,"紧张","充足")))</f>
        <v/>
      </c>
      <c r="I103" s="4" t="inlineStr"/>
    </row>
    <row r="104">
      <c r="A104" s="4">
        <f>IF(入库登记!C104="","",入库登记!C104)</f>
        <v/>
      </c>
      <c r="B104" s="4">
        <f>IF(入库登记!C104="","",入库登记!D104)</f>
        <v/>
      </c>
      <c r="C104" s="4">
        <f>IF(入库登记!C104="","",入库登记!E104)</f>
        <v/>
      </c>
      <c r="D104" s="4">
        <f>IF(入库登记!C104="",0,入库登记!H104)</f>
        <v/>
      </c>
      <c r="E104" s="4">
        <f>IF(入库登记!C104="","",SUMIF(出库登记!$C$2:$C$51,入库登记!C104,出库登记!$D$2:$D$51))</f>
        <v/>
      </c>
      <c r="F104" s="4">
        <f>IF(入库登记!C104="","",入库登记!H104-SUMIF(出库登记!$C$2:$C$51,入库登记!C104,出库登记!$D$2:$D$51))</f>
        <v/>
      </c>
      <c r="G104" s="4">
        <f>IF(入库登记!C104="","",入库登记!G104*(入库登记!H104-SUMIF(出库登记!$C$2:$C$51,入库登记!C104,出库登记!$D$2:$D$51)))</f>
        <v/>
      </c>
      <c r="H104" s="4">
        <f>IF(入库登记!C104="","",IF((入库登记!H104-SUMIF(出库登记!$C$2:$C$51,入库登记!C104,出库登记!$D$2:$D$51))&lt;=0,"缺货",IF((入库登记!H104-SUMIF(出库登记!$C$2:$C$51,入库登记!C104,出库登记!$D$2:$D$51))&lt;5,"紧张","充足")))</f>
        <v/>
      </c>
      <c r="I104" s="4" t="inlineStr"/>
    </row>
    <row r="105">
      <c r="A105" s="4">
        <f>IF(入库登记!C105="","",入库登记!C105)</f>
        <v/>
      </c>
      <c r="B105" s="4">
        <f>IF(入库登记!C105="","",入库登记!D105)</f>
        <v/>
      </c>
      <c r="C105" s="4">
        <f>IF(入库登记!C105="","",入库登记!E105)</f>
        <v/>
      </c>
      <c r="D105" s="4">
        <f>IF(入库登记!C105="",0,入库登记!H105)</f>
        <v/>
      </c>
      <c r="E105" s="4">
        <f>IF(入库登记!C105="","",SUMIF(出库登记!$C$2:$C$51,入库登记!C105,出库登记!$D$2:$D$51))</f>
        <v/>
      </c>
      <c r="F105" s="4">
        <f>IF(入库登记!C105="","",入库登记!H105-SUMIF(出库登记!$C$2:$C$51,入库登记!C105,出库登记!$D$2:$D$51))</f>
        <v/>
      </c>
      <c r="G105" s="4">
        <f>IF(入库登记!C105="","",入库登记!G105*(入库登记!H105-SUMIF(出库登记!$C$2:$C$51,入库登记!C105,出库登记!$D$2:$D$51)))</f>
        <v/>
      </c>
      <c r="H105" s="4">
        <f>IF(入库登记!C105="","",IF((入库登记!H105-SUMIF(出库登记!$C$2:$C$51,入库登记!C105,出库登记!$D$2:$D$51))&lt;=0,"缺货",IF((入库登记!H105-SUMIF(出库登记!$C$2:$C$51,入库登记!C105,出库登记!$D$2:$D$51))&lt;5,"紧张","充足")))</f>
        <v/>
      </c>
      <c r="I105" s="4" t="inlineStr"/>
    </row>
    <row r="106">
      <c r="A106" s="4">
        <f>IF(入库登记!C106="","",入库登记!C106)</f>
        <v/>
      </c>
      <c r="B106" s="4">
        <f>IF(入库登记!C106="","",入库登记!D106)</f>
        <v/>
      </c>
      <c r="C106" s="4">
        <f>IF(入库登记!C106="","",入库登记!E106)</f>
        <v/>
      </c>
      <c r="D106" s="4">
        <f>IF(入库登记!C106="",0,入库登记!H106)</f>
        <v/>
      </c>
      <c r="E106" s="4">
        <f>IF(入库登记!C106="","",SUMIF(出库登记!$C$2:$C$51,入库登记!C106,出库登记!$D$2:$D$51))</f>
        <v/>
      </c>
      <c r="F106" s="4">
        <f>IF(入库登记!C106="","",入库登记!H106-SUMIF(出库登记!$C$2:$C$51,入库登记!C106,出库登记!$D$2:$D$51))</f>
        <v/>
      </c>
      <c r="G106" s="4">
        <f>IF(入库登记!C106="","",入库登记!G106*(入库登记!H106-SUMIF(出库登记!$C$2:$C$51,入库登记!C106,出库登记!$D$2:$D$51)))</f>
        <v/>
      </c>
      <c r="H106" s="4">
        <f>IF(入库登记!C106="","",IF((入库登记!H106-SUMIF(出库登记!$C$2:$C$51,入库登记!C106,出库登记!$D$2:$D$51))&lt;=0,"缺货",IF((入库登记!H106-SUMIF(出库登记!$C$2:$C$51,入库登记!C106,出库登记!$D$2:$D$51))&lt;5,"紧张","充足")))</f>
        <v/>
      </c>
      <c r="I106" s="4" t="inlineStr"/>
    </row>
    <row r="107">
      <c r="A107" s="4">
        <f>IF(入库登记!C107="","",入库登记!C107)</f>
        <v/>
      </c>
      <c r="B107" s="4">
        <f>IF(入库登记!C107="","",入库登记!D107)</f>
        <v/>
      </c>
      <c r="C107" s="4">
        <f>IF(入库登记!C107="","",入库登记!E107)</f>
        <v/>
      </c>
      <c r="D107" s="4">
        <f>IF(入库登记!C107="",0,入库登记!H107)</f>
        <v/>
      </c>
      <c r="E107" s="4">
        <f>IF(入库登记!C107="","",SUMIF(出库登记!$C$2:$C$51,入库登记!C107,出库登记!$D$2:$D$51))</f>
        <v/>
      </c>
      <c r="F107" s="4">
        <f>IF(入库登记!C107="","",入库登记!H107-SUMIF(出库登记!$C$2:$C$51,入库登记!C107,出库登记!$D$2:$D$51))</f>
        <v/>
      </c>
      <c r="G107" s="4">
        <f>IF(入库登记!C107="","",入库登记!G107*(入库登记!H107-SUMIF(出库登记!$C$2:$C$51,入库登记!C107,出库登记!$D$2:$D$51)))</f>
        <v/>
      </c>
      <c r="H107" s="4">
        <f>IF(入库登记!C107="","",IF((入库登记!H107-SUMIF(出库登记!$C$2:$C$51,入库登记!C107,出库登记!$D$2:$D$51))&lt;=0,"缺货",IF((入库登记!H107-SUMIF(出库登记!$C$2:$C$51,入库登记!C107,出库登记!$D$2:$D$51))&lt;5,"紧张","充足")))</f>
        <v/>
      </c>
      <c r="I107" s="4" t="inlineStr"/>
    </row>
    <row r="108">
      <c r="A108" s="4">
        <f>IF(入库登记!C108="","",入库登记!C108)</f>
        <v/>
      </c>
      <c r="B108" s="4">
        <f>IF(入库登记!C108="","",入库登记!D108)</f>
        <v/>
      </c>
      <c r="C108" s="4">
        <f>IF(入库登记!C108="","",入库登记!E108)</f>
        <v/>
      </c>
      <c r="D108" s="4">
        <f>IF(入库登记!C108="",0,入库登记!H108)</f>
        <v/>
      </c>
      <c r="E108" s="4">
        <f>IF(入库登记!C108="","",SUMIF(出库登记!$C$2:$C$51,入库登记!C108,出库登记!$D$2:$D$51))</f>
        <v/>
      </c>
      <c r="F108" s="4">
        <f>IF(入库登记!C108="","",入库登记!H108-SUMIF(出库登记!$C$2:$C$51,入库登记!C108,出库登记!$D$2:$D$51))</f>
        <v/>
      </c>
      <c r="G108" s="4">
        <f>IF(入库登记!C108="","",入库登记!G108*(入库登记!H108-SUMIF(出库登记!$C$2:$C$51,入库登记!C108,出库登记!$D$2:$D$51)))</f>
        <v/>
      </c>
      <c r="H108" s="4">
        <f>IF(入库登记!C108="","",IF((入库登记!H108-SUMIF(出库登记!$C$2:$C$51,入库登记!C108,出库登记!$D$2:$D$51))&lt;=0,"缺货",IF((入库登记!H108-SUMIF(出库登记!$C$2:$C$51,入库登记!C108,出库登记!$D$2:$D$51))&lt;5,"紧张","充足")))</f>
        <v/>
      </c>
      <c r="I108" s="4" t="inlineStr"/>
    </row>
    <row r="109">
      <c r="A109" s="4">
        <f>IF(入库登记!C109="","",入库登记!C109)</f>
        <v/>
      </c>
      <c r="B109" s="4">
        <f>IF(入库登记!C109="","",入库登记!D109)</f>
        <v/>
      </c>
      <c r="C109" s="4">
        <f>IF(入库登记!C109="","",入库登记!E109)</f>
        <v/>
      </c>
      <c r="D109" s="4">
        <f>IF(入库登记!C109="",0,入库登记!H109)</f>
        <v/>
      </c>
      <c r="E109" s="4">
        <f>IF(入库登记!C109="","",SUMIF(出库登记!$C$2:$C$51,入库登记!C109,出库登记!$D$2:$D$51))</f>
        <v/>
      </c>
      <c r="F109" s="4">
        <f>IF(入库登记!C109="","",入库登记!H109-SUMIF(出库登记!$C$2:$C$51,入库登记!C109,出库登记!$D$2:$D$51))</f>
        <v/>
      </c>
      <c r="G109" s="4">
        <f>IF(入库登记!C109="","",入库登记!G109*(入库登记!H109-SUMIF(出库登记!$C$2:$C$51,入库登记!C109,出库登记!$D$2:$D$51)))</f>
        <v/>
      </c>
      <c r="H109" s="4">
        <f>IF(入库登记!C109="","",IF((入库登记!H109-SUMIF(出库登记!$C$2:$C$51,入库登记!C109,出库登记!$D$2:$D$51))&lt;=0,"缺货",IF((入库登记!H109-SUMIF(出库登记!$C$2:$C$51,入库登记!C109,出库登记!$D$2:$D$51))&lt;5,"紧张","充足")))</f>
        <v/>
      </c>
      <c r="I109" s="4" t="inlineStr"/>
    </row>
    <row r="110">
      <c r="A110" s="4">
        <f>IF(入库登记!C110="","",入库登记!C110)</f>
        <v/>
      </c>
      <c r="B110" s="4">
        <f>IF(入库登记!C110="","",入库登记!D110)</f>
        <v/>
      </c>
      <c r="C110" s="4">
        <f>IF(入库登记!C110="","",入库登记!E110)</f>
        <v/>
      </c>
      <c r="D110" s="4">
        <f>IF(入库登记!C110="",0,入库登记!H110)</f>
        <v/>
      </c>
      <c r="E110" s="4">
        <f>IF(入库登记!C110="","",SUMIF(出库登记!$C$2:$C$51,入库登记!C110,出库登记!$D$2:$D$51))</f>
        <v/>
      </c>
      <c r="F110" s="4">
        <f>IF(入库登记!C110="","",入库登记!H110-SUMIF(出库登记!$C$2:$C$51,入库登记!C110,出库登记!$D$2:$D$51))</f>
        <v/>
      </c>
      <c r="G110" s="4">
        <f>IF(入库登记!C110="","",入库登记!G110*(入库登记!H110-SUMIF(出库登记!$C$2:$C$51,入库登记!C110,出库登记!$D$2:$D$51)))</f>
        <v/>
      </c>
      <c r="H110" s="4">
        <f>IF(入库登记!C110="","",IF((入库登记!H110-SUMIF(出库登记!$C$2:$C$51,入库登记!C110,出库登记!$D$2:$D$51))&lt;=0,"缺货",IF((入库登记!H110-SUMIF(出库登记!$C$2:$C$51,入库登记!C110,出库登记!$D$2:$D$51))&lt;5,"紧张","充足")))</f>
        <v/>
      </c>
      <c r="I110" s="4" t="inlineStr"/>
    </row>
    <row r="111">
      <c r="A111" s="4">
        <f>IF(入库登记!C111="","",入库登记!C111)</f>
        <v/>
      </c>
      <c r="B111" s="4">
        <f>IF(入库登记!C111="","",入库登记!D111)</f>
        <v/>
      </c>
      <c r="C111" s="4">
        <f>IF(入库登记!C111="","",入库登记!E111)</f>
        <v/>
      </c>
      <c r="D111" s="4">
        <f>IF(入库登记!C111="",0,入库登记!H111)</f>
        <v/>
      </c>
      <c r="E111" s="4">
        <f>IF(入库登记!C111="","",SUMIF(出库登记!$C$2:$C$51,入库登记!C111,出库登记!$D$2:$D$51))</f>
        <v/>
      </c>
      <c r="F111" s="4">
        <f>IF(入库登记!C111="","",入库登记!H111-SUMIF(出库登记!$C$2:$C$51,入库登记!C111,出库登记!$D$2:$D$51))</f>
        <v/>
      </c>
      <c r="G111" s="4">
        <f>IF(入库登记!C111="","",入库登记!G111*(入库登记!H111-SUMIF(出库登记!$C$2:$C$51,入库登记!C111,出库登记!$D$2:$D$51)))</f>
        <v/>
      </c>
      <c r="H111" s="4">
        <f>IF(入库登记!C111="","",IF((入库登记!H111-SUMIF(出库登记!$C$2:$C$51,入库登记!C111,出库登记!$D$2:$D$51))&lt;=0,"缺货",IF((入库登记!H111-SUMIF(出库登记!$C$2:$C$51,入库登记!C111,出库登记!$D$2:$D$51))&lt;5,"紧张","充足")))</f>
        <v/>
      </c>
      <c r="I111" s="4" t="inlineStr"/>
    </row>
    <row r="112">
      <c r="A112" s="4">
        <f>IF(入库登记!C112="","",入库登记!C112)</f>
        <v/>
      </c>
      <c r="B112" s="4">
        <f>IF(入库登记!C112="","",入库登记!D112)</f>
        <v/>
      </c>
      <c r="C112" s="4">
        <f>IF(入库登记!C112="","",入库登记!E112)</f>
        <v/>
      </c>
      <c r="D112" s="4">
        <f>IF(入库登记!C112="",0,入库登记!H112)</f>
        <v/>
      </c>
      <c r="E112" s="4">
        <f>IF(入库登记!C112="","",SUMIF(出库登记!$C$2:$C$51,入库登记!C112,出库登记!$D$2:$D$51))</f>
        <v/>
      </c>
      <c r="F112" s="4">
        <f>IF(入库登记!C112="","",入库登记!H112-SUMIF(出库登记!$C$2:$C$51,入库登记!C112,出库登记!$D$2:$D$51))</f>
        <v/>
      </c>
      <c r="G112" s="4">
        <f>IF(入库登记!C112="","",入库登记!G112*(入库登记!H112-SUMIF(出库登记!$C$2:$C$51,入库登记!C112,出库登记!$D$2:$D$51)))</f>
        <v/>
      </c>
      <c r="H112" s="4">
        <f>IF(入库登记!C112="","",IF((入库登记!H112-SUMIF(出库登记!$C$2:$C$51,入库登记!C112,出库登记!$D$2:$D$51))&lt;=0,"缺货",IF((入库登记!H112-SUMIF(出库登记!$C$2:$C$51,入库登记!C112,出库登记!$D$2:$D$51))&lt;5,"紧张","充足")))</f>
        <v/>
      </c>
      <c r="I112" s="4" t="inlineStr"/>
    </row>
    <row r="113">
      <c r="A113" s="4">
        <f>IF(入库登记!C113="","",入库登记!C113)</f>
        <v/>
      </c>
      <c r="B113" s="4">
        <f>IF(入库登记!C113="","",入库登记!D113)</f>
        <v/>
      </c>
      <c r="C113" s="4">
        <f>IF(入库登记!C113="","",入库登记!E113)</f>
        <v/>
      </c>
      <c r="D113" s="4">
        <f>IF(入库登记!C113="",0,入库登记!H113)</f>
        <v/>
      </c>
      <c r="E113" s="4">
        <f>IF(入库登记!C113="","",SUMIF(出库登记!$C$2:$C$51,入库登记!C113,出库登记!$D$2:$D$51))</f>
        <v/>
      </c>
      <c r="F113" s="4">
        <f>IF(入库登记!C113="","",入库登记!H113-SUMIF(出库登记!$C$2:$C$51,入库登记!C113,出库登记!$D$2:$D$51))</f>
        <v/>
      </c>
      <c r="G113" s="4">
        <f>IF(入库登记!C113="","",入库登记!G113*(入库登记!H113-SUMIF(出库登记!$C$2:$C$51,入库登记!C113,出库登记!$D$2:$D$51)))</f>
        <v/>
      </c>
      <c r="H113" s="4">
        <f>IF(入库登记!C113="","",IF((入库登记!H113-SUMIF(出库登记!$C$2:$C$51,入库登记!C113,出库登记!$D$2:$D$51))&lt;=0,"缺货",IF((入库登记!H113-SUMIF(出库登记!$C$2:$C$51,入库登记!C113,出库登记!$D$2:$D$51))&lt;5,"紧张","充足")))</f>
        <v/>
      </c>
      <c r="I113" s="4" t="inlineStr"/>
    </row>
    <row r="114">
      <c r="A114" s="4">
        <f>IF(入库登记!C114="","",入库登记!C114)</f>
        <v/>
      </c>
      <c r="B114" s="4">
        <f>IF(入库登记!C114="","",入库登记!D114)</f>
        <v/>
      </c>
      <c r="C114" s="4">
        <f>IF(入库登记!C114="","",入库登记!E114)</f>
        <v/>
      </c>
      <c r="D114" s="4">
        <f>IF(入库登记!C114="",0,入库登记!H114)</f>
        <v/>
      </c>
      <c r="E114" s="4">
        <f>IF(入库登记!C114="","",SUMIF(出库登记!$C$2:$C$51,入库登记!C114,出库登记!$D$2:$D$51))</f>
        <v/>
      </c>
      <c r="F114" s="4">
        <f>IF(入库登记!C114="","",入库登记!H114-SUMIF(出库登记!$C$2:$C$51,入库登记!C114,出库登记!$D$2:$D$51))</f>
        <v/>
      </c>
      <c r="G114" s="4">
        <f>IF(入库登记!C114="","",入库登记!G114*(入库登记!H114-SUMIF(出库登记!$C$2:$C$51,入库登记!C114,出库登记!$D$2:$D$51)))</f>
        <v/>
      </c>
      <c r="H114" s="4">
        <f>IF(入库登记!C114="","",IF((入库登记!H114-SUMIF(出库登记!$C$2:$C$51,入库登记!C114,出库登记!$D$2:$D$51))&lt;=0,"缺货",IF((入库登记!H114-SUMIF(出库登记!$C$2:$C$51,入库登记!C114,出库登记!$D$2:$D$51))&lt;5,"紧张","充足")))</f>
        <v/>
      </c>
      <c r="I114" s="4" t="inlineStr"/>
    </row>
    <row r="115">
      <c r="A115" s="4">
        <f>IF(入库登记!C115="","",入库登记!C115)</f>
        <v/>
      </c>
      <c r="B115" s="4">
        <f>IF(入库登记!C115="","",入库登记!D115)</f>
        <v/>
      </c>
      <c r="C115" s="4">
        <f>IF(入库登记!C115="","",入库登记!E115)</f>
        <v/>
      </c>
      <c r="D115" s="4">
        <f>IF(入库登记!C115="",0,入库登记!H115)</f>
        <v/>
      </c>
      <c r="E115" s="4">
        <f>IF(入库登记!C115="","",SUMIF(出库登记!$C$2:$C$51,入库登记!C115,出库登记!$D$2:$D$51))</f>
        <v/>
      </c>
      <c r="F115" s="4">
        <f>IF(入库登记!C115="","",入库登记!H115-SUMIF(出库登记!$C$2:$C$51,入库登记!C115,出库登记!$D$2:$D$51))</f>
        <v/>
      </c>
      <c r="G115" s="4">
        <f>IF(入库登记!C115="","",入库登记!G115*(入库登记!H115-SUMIF(出库登记!$C$2:$C$51,入库登记!C115,出库登记!$D$2:$D$51)))</f>
        <v/>
      </c>
      <c r="H115" s="4">
        <f>IF(入库登记!C115="","",IF((入库登记!H115-SUMIF(出库登记!$C$2:$C$51,入库登记!C115,出库登记!$D$2:$D$51))&lt;=0,"缺货",IF((入库登记!H115-SUMIF(出库登记!$C$2:$C$51,入库登记!C115,出库登记!$D$2:$D$51))&lt;5,"紧张","充足")))</f>
        <v/>
      </c>
      <c r="I115" s="4" t="inlineStr"/>
    </row>
    <row r="116">
      <c r="A116" s="4">
        <f>IF(入库登记!C116="","",入库登记!C116)</f>
        <v/>
      </c>
      <c r="B116" s="4">
        <f>IF(入库登记!C116="","",入库登记!D116)</f>
        <v/>
      </c>
      <c r="C116" s="4">
        <f>IF(入库登记!C116="","",入库登记!E116)</f>
        <v/>
      </c>
      <c r="D116" s="4">
        <f>IF(入库登记!C116="",0,入库登记!H116)</f>
        <v/>
      </c>
      <c r="E116" s="4">
        <f>IF(入库登记!C116="","",SUMIF(出库登记!$C$2:$C$51,入库登记!C116,出库登记!$D$2:$D$51))</f>
        <v/>
      </c>
      <c r="F116" s="4">
        <f>IF(入库登记!C116="","",入库登记!H116-SUMIF(出库登记!$C$2:$C$51,入库登记!C116,出库登记!$D$2:$D$51))</f>
        <v/>
      </c>
      <c r="G116" s="4">
        <f>IF(入库登记!C116="","",入库登记!G116*(入库登记!H116-SUMIF(出库登记!$C$2:$C$51,入库登记!C116,出库登记!$D$2:$D$51)))</f>
        <v/>
      </c>
      <c r="H116" s="4">
        <f>IF(入库登记!C116="","",IF((入库登记!H116-SUMIF(出库登记!$C$2:$C$51,入库登记!C116,出库登记!$D$2:$D$51))&lt;=0,"缺货",IF((入库登记!H116-SUMIF(出库登记!$C$2:$C$51,入库登记!C116,出库登记!$D$2:$D$51))&lt;5,"紧张","充足")))</f>
        <v/>
      </c>
      <c r="I116" s="4" t="inlineStr"/>
    </row>
    <row r="117">
      <c r="A117" s="4">
        <f>IF(入库登记!C117="","",入库登记!C117)</f>
        <v/>
      </c>
      <c r="B117" s="4">
        <f>IF(入库登记!C117="","",入库登记!D117)</f>
        <v/>
      </c>
      <c r="C117" s="4">
        <f>IF(入库登记!C117="","",入库登记!E117)</f>
        <v/>
      </c>
      <c r="D117" s="4">
        <f>IF(入库登记!C117="",0,入库登记!H117)</f>
        <v/>
      </c>
      <c r="E117" s="4">
        <f>IF(入库登记!C117="","",SUMIF(出库登记!$C$2:$C$51,入库登记!C117,出库登记!$D$2:$D$51))</f>
        <v/>
      </c>
      <c r="F117" s="4">
        <f>IF(入库登记!C117="","",入库登记!H117-SUMIF(出库登记!$C$2:$C$51,入库登记!C117,出库登记!$D$2:$D$51))</f>
        <v/>
      </c>
      <c r="G117" s="4">
        <f>IF(入库登记!C117="","",入库登记!G117*(入库登记!H117-SUMIF(出库登记!$C$2:$C$51,入库登记!C117,出库登记!$D$2:$D$51)))</f>
        <v/>
      </c>
      <c r="H117" s="4">
        <f>IF(入库登记!C117="","",IF((入库登记!H117-SUMIF(出库登记!$C$2:$C$51,入库登记!C117,出库登记!$D$2:$D$51))&lt;=0,"缺货",IF((入库登记!H117-SUMIF(出库登记!$C$2:$C$51,入库登记!C117,出库登记!$D$2:$D$51))&lt;5,"紧张","充足")))</f>
        <v/>
      </c>
      <c r="I117" s="4" t="inlineStr"/>
    </row>
    <row r="118">
      <c r="A118" s="4">
        <f>IF(入库登记!C118="","",入库登记!C118)</f>
        <v/>
      </c>
      <c r="B118" s="4">
        <f>IF(入库登记!C118="","",入库登记!D118)</f>
        <v/>
      </c>
      <c r="C118" s="4">
        <f>IF(入库登记!C118="","",入库登记!E118)</f>
        <v/>
      </c>
      <c r="D118" s="4">
        <f>IF(入库登记!C118="",0,入库登记!H118)</f>
        <v/>
      </c>
      <c r="E118" s="4">
        <f>IF(入库登记!C118="","",SUMIF(出库登记!$C$2:$C$51,入库登记!C118,出库登记!$D$2:$D$51))</f>
        <v/>
      </c>
      <c r="F118" s="4">
        <f>IF(入库登记!C118="","",入库登记!H118-SUMIF(出库登记!$C$2:$C$51,入库登记!C118,出库登记!$D$2:$D$51))</f>
        <v/>
      </c>
      <c r="G118" s="4">
        <f>IF(入库登记!C118="","",入库登记!G118*(入库登记!H118-SUMIF(出库登记!$C$2:$C$51,入库登记!C118,出库登记!$D$2:$D$51)))</f>
        <v/>
      </c>
      <c r="H118" s="4">
        <f>IF(入库登记!C118="","",IF((入库登记!H118-SUMIF(出库登记!$C$2:$C$51,入库登记!C118,出库登记!$D$2:$D$51))&lt;=0,"缺货",IF((入库登记!H118-SUMIF(出库登记!$C$2:$C$51,入库登记!C118,出库登记!$D$2:$D$51))&lt;5,"紧张","充足")))</f>
        <v/>
      </c>
      <c r="I118" s="4" t="inlineStr"/>
    </row>
    <row r="119">
      <c r="A119" s="4">
        <f>IF(入库登记!C119="","",入库登记!C119)</f>
        <v/>
      </c>
      <c r="B119" s="4">
        <f>IF(入库登记!C119="","",入库登记!D119)</f>
        <v/>
      </c>
      <c r="C119" s="4">
        <f>IF(入库登记!C119="","",入库登记!E119)</f>
        <v/>
      </c>
      <c r="D119" s="4">
        <f>IF(入库登记!C119="",0,入库登记!H119)</f>
        <v/>
      </c>
      <c r="E119" s="4">
        <f>IF(入库登记!C119="","",SUMIF(出库登记!$C$2:$C$51,入库登记!C119,出库登记!$D$2:$D$51))</f>
        <v/>
      </c>
      <c r="F119" s="4">
        <f>IF(入库登记!C119="","",入库登记!H119-SUMIF(出库登记!$C$2:$C$51,入库登记!C119,出库登记!$D$2:$D$51))</f>
        <v/>
      </c>
      <c r="G119" s="4">
        <f>IF(入库登记!C119="","",入库登记!G119*(入库登记!H119-SUMIF(出库登记!$C$2:$C$51,入库登记!C119,出库登记!$D$2:$D$51)))</f>
        <v/>
      </c>
      <c r="H119" s="4">
        <f>IF(入库登记!C119="","",IF((入库登记!H119-SUMIF(出库登记!$C$2:$C$51,入库登记!C119,出库登记!$D$2:$D$51))&lt;=0,"缺货",IF((入库登记!H119-SUMIF(出库登记!$C$2:$C$51,入库登记!C119,出库登记!$D$2:$D$51))&lt;5,"紧张","充足")))</f>
        <v/>
      </c>
      <c r="I119" s="4" t="inlineStr"/>
    </row>
    <row r="120">
      <c r="A120" s="4">
        <f>IF(入库登记!C120="","",入库登记!C120)</f>
        <v/>
      </c>
      <c r="B120" s="4">
        <f>IF(入库登记!C120="","",入库登记!D120)</f>
        <v/>
      </c>
      <c r="C120" s="4">
        <f>IF(入库登记!C120="","",入库登记!E120)</f>
        <v/>
      </c>
      <c r="D120" s="4">
        <f>IF(入库登记!C120="",0,入库登记!H120)</f>
        <v/>
      </c>
      <c r="E120" s="4">
        <f>IF(入库登记!C120="","",SUMIF(出库登记!$C$2:$C$51,入库登记!C120,出库登记!$D$2:$D$51))</f>
        <v/>
      </c>
      <c r="F120" s="4">
        <f>IF(入库登记!C120="","",入库登记!H120-SUMIF(出库登记!$C$2:$C$51,入库登记!C120,出库登记!$D$2:$D$51))</f>
        <v/>
      </c>
      <c r="G120" s="4">
        <f>IF(入库登记!C120="","",入库登记!G120*(入库登记!H120-SUMIF(出库登记!$C$2:$C$51,入库登记!C120,出库登记!$D$2:$D$51)))</f>
        <v/>
      </c>
      <c r="H120" s="4">
        <f>IF(入库登记!C120="","",IF((入库登记!H120-SUMIF(出库登记!$C$2:$C$51,入库登记!C120,出库登记!$D$2:$D$51))&lt;=0,"缺货",IF((入库登记!H120-SUMIF(出库登记!$C$2:$C$51,入库登记!C120,出库登记!$D$2:$D$51))&lt;5,"紧张","充足")))</f>
        <v/>
      </c>
      <c r="I120" s="4" t="inlineStr"/>
    </row>
    <row r="121">
      <c r="A121" s="4">
        <f>IF(入库登记!C121="","",入库登记!C121)</f>
        <v/>
      </c>
      <c r="B121" s="4">
        <f>IF(入库登记!C121="","",入库登记!D121)</f>
        <v/>
      </c>
      <c r="C121" s="4">
        <f>IF(入库登记!C121="","",入库登记!E121)</f>
        <v/>
      </c>
      <c r="D121" s="4">
        <f>IF(入库登记!C121="",0,入库登记!H121)</f>
        <v/>
      </c>
      <c r="E121" s="4">
        <f>IF(入库登记!C121="","",SUMIF(出库登记!$C$2:$C$51,入库登记!C121,出库登记!$D$2:$D$51))</f>
        <v/>
      </c>
      <c r="F121" s="4">
        <f>IF(入库登记!C121="","",入库登记!H121-SUMIF(出库登记!$C$2:$C$51,入库登记!C121,出库登记!$D$2:$D$51))</f>
        <v/>
      </c>
      <c r="G121" s="4">
        <f>IF(入库登记!C121="","",入库登记!G121*(入库登记!H121-SUMIF(出库登记!$C$2:$C$51,入库登记!C121,出库登记!$D$2:$D$51)))</f>
        <v/>
      </c>
      <c r="H121" s="4">
        <f>IF(入库登记!C121="","",IF((入库登记!H121-SUMIF(出库登记!$C$2:$C$51,入库登记!C121,出库登记!$D$2:$D$51))&lt;=0,"缺货",IF((入库登记!H121-SUMIF(出库登记!$C$2:$C$51,入库登记!C121,出库登记!$D$2:$D$51))&lt;5,"紧张","充足")))</f>
        <v/>
      </c>
      <c r="I121" s="4" t="inlineStr"/>
    </row>
    <row r="122">
      <c r="A122" s="4">
        <f>IF(入库登记!C122="","",入库登记!C122)</f>
        <v/>
      </c>
      <c r="B122" s="4">
        <f>IF(入库登记!C122="","",入库登记!D122)</f>
        <v/>
      </c>
      <c r="C122" s="4">
        <f>IF(入库登记!C122="","",入库登记!E122)</f>
        <v/>
      </c>
      <c r="D122" s="4">
        <f>IF(入库登记!C122="",0,入库登记!H122)</f>
        <v/>
      </c>
      <c r="E122" s="4">
        <f>IF(入库登记!C122="","",SUMIF(出库登记!$C$2:$C$51,入库登记!C122,出库登记!$D$2:$D$51))</f>
        <v/>
      </c>
      <c r="F122" s="4">
        <f>IF(入库登记!C122="","",入库登记!H122-SUMIF(出库登记!$C$2:$C$51,入库登记!C122,出库登记!$D$2:$D$51))</f>
        <v/>
      </c>
      <c r="G122" s="4">
        <f>IF(入库登记!C122="","",入库登记!G122*(入库登记!H122-SUMIF(出库登记!$C$2:$C$51,入库登记!C122,出库登记!$D$2:$D$51)))</f>
        <v/>
      </c>
      <c r="H122" s="4">
        <f>IF(入库登记!C122="","",IF((入库登记!H122-SUMIF(出库登记!$C$2:$C$51,入库登记!C122,出库登记!$D$2:$D$51))&lt;=0,"缺货",IF((入库登记!H122-SUMIF(出库登记!$C$2:$C$51,入库登记!C122,出库登记!$D$2:$D$51))&lt;5,"紧张","充足")))</f>
        <v/>
      </c>
      <c r="I122" s="4" t="inlineStr"/>
    </row>
    <row r="123">
      <c r="A123" s="4">
        <f>IF(入库登记!C123="","",入库登记!C123)</f>
        <v/>
      </c>
      <c r="B123" s="4">
        <f>IF(入库登记!C123="","",入库登记!D123)</f>
        <v/>
      </c>
      <c r="C123" s="4">
        <f>IF(入库登记!C123="","",入库登记!E123)</f>
        <v/>
      </c>
      <c r="D123" s="4">
        <f>IF(入库登记!C123="",0,入库登记!H123)</f>
        <v/>
      </c>
      <c r="E123" s="4">
        <f>IF(入库登记!C123="","",SUMIF(出库登记!$C$2:$C$51,入库登记!C123,出库登记!$D$2:$D$51))</f>
        <v/>
      </c>
      <c r="F123" s="4">
        <f>IF(入库登记!C123="","",入库登记!H123-SUMIF(出库登记!$C$2:$C$51,入库登记!C123,出库登记!$D$2:$D$51))</f>
        <v/>
      </c>
      <c r="G123" s="4">
        <f>IF(入库登记!C123="","",入库登记!G123*(入库登记!H123-SUMIF(出库登记!$C$2:$C$51,入库登记!C123,出库登记!$D$2:$D$51)))</f>
        <v/>
      </c>
      <c r="H123" s="4">
        <f>IF(入库登记!C123="","",IF((入库登记!H123-SUMIF(出库登记!$C$2:$C$51,入库登记!C123,出库登记!$D$2:$D$51))&lt;=0,"缺货",IF((入库登记!H123-SUMIF(出库登记!$C$2:$C$51,入库登记!C123,出库登记!$D$2:$D$51))&lt;5,"紧张","充足")))</f>
        <v/>
      </c>
      <c r="I123" s="4" t="inlineStr"/>
    </row>
    <row r="124">
      <c r="A124" s="4">
        <f>IF(入库登记!C124="","",入库登记!C124)</f>
        <v/>
      </c>
      <c r="B124" s="4">
        <f>IF(入库登记!C124="","",入库登记!D124)</f>
        <v/>
      </c>
      <c r="C124" s="4">
        <f>IF(入库登记!C124="","",入库登记!E124)</f>
        <v/>
      </c>
      <c r="D124" s="4">
        <f>IF(入库登记!C124="",0,入库登记!H124)</f>
        <v/>
      </c>
      <c r="E124" s="4">
        <f>IF(入库登记!C124="","",SUMIF(出库登记!$C$2:$C$51,入库登记!C124,出库登记!$D$2:$D$51))</f>
        <v/>
      </c>
      <c r="F124" s="4">
        <f>IF(入库登记!C124="","",入库登记!H124-SUMIF(出库登记!$C$2:$C$51,入库登记!C124,出库登记!$D$2:$D$51))</f>
        <v/>
      </c>
      <c r="G124" s="4">
        <f>IF(入库登记!C124="","",入库登记!G124*(入库登记!H124-SUMIF(出库登记!$C$2:$C$51,入库登记!C124,出库登记!$D$2:$D$51)))</f>
        <v/>
      </c>
      <c r="H124" s="4">
        <f>IF(入库登记!C124="","",IF((入库登记!H124-SUMIF(出库登记!$C$2:$C$51,入库登记!C124,出库登记!$D$2:$D$51))&lt;=0,"缺货",IF((入库登记!H124-SUMIF(出库登记!$C$2:$C$51,入库登记!C124,出库登记!$D$2:$D$51))&lt;5,"紧张","充足")))</f>
        <v/>
      </c>
      <c r="I124" s="4" t="inlineStr"/>
    </row>
    <row r="125">
      <c r="A125" s="4">
        <f>IF(入库登记!C125="","",入库登记!C125)</f>
        <v/>
      </c>
      <c r="B125" s="4">
        <f>IF(入库登记!C125="","",入库登记!D125)</f>
        <v/>
      </c>
      <c r="C125" s="4">
        <f>IF(入库登记!C125="","",入库登记!E125)</f>
        <v/>
      </c>
      <c r="D125" s="4">
        <f>IF(入库登记!C125="",0,入库登记!H125)</f>
        <v/>
      </c>
      <c r="E125" s="4">
        <f>IF(入库登记!C125="","",SUMIF(出库登记!$C$2:$C$51,入库登记!C125,出库登记!$D$2:$D$51))</f>
        <v/>
      </c>
      <c r="F125" s="4">
        <f>IF(入库登记!C125="","",入库登记!H125-SUMIF(出库登记!$C$2:$C$51,入库登记!C125,出库登记!$D$2:$D$51))</f>
        <v/>
      </c>
      <c r="G125" s="4">
        <f>IF(入库登记!C125="","",入库登记!G125*(入库登记!H125-SUMIF(出库登记!$C$2:$C$51,入库登记!C125,出库登记!$D$2:$D$51)))</f>
        <v/>
      </c>
      <c r="H125" s="4">
        <f>IF(入库登记!C125="","",IF((入库登记!H125-SUMIF(出库登记!$C$2:$C$51,入库登记!C125,出库登记!$D$2:$D$51))&lt;=0,"缺货",IF((入库登记!H125-SUMIF(出库登记!$C$2:$C$51,入库登记!C125,出库登记!$D$2:$D$51))&lt;5,"紧张","充足")))</f>
        <v/>
      </c>
      <c r="I125" s="4" t="inlineStr"/>
    </row>
    <row r="126">
      <c r="A126" s="4">
        <f>IF(入库登记!C126="","",入库登记!C126)</f>
        <v/>
      </c>
      <c r="B126" s="4">
        <f>IF(入库登记!C126="","",入库登记!D126)</f>
        <v/>
      </c>
      <c r="C126" s="4">
        <f>IF(入库登记!C126="","",入库登记!E126)</f>
        <v/>
      </c>
      <c r="D126" s="4">
        <f>IF(入库登记!C126="",0,入库登记!H126)</f>
        <v/>
      </c>
      <c r="E126" s="4">
        <f>IF(入库登记!C126="","",SUMIF(出库登记!$C$2:$C$51,入库登记!C126,出库登记!$D$2:$D$51))</f>
        <v/>
      </c>
      <c r="F126" s="4">
        <f>IF(入库登记!C126="","",入库登记!H126-SUMIF(出库登记!$C$2:$C$51,入库登记!C126,出库登记!$D$2:$D$51))</f>
        <v/>
      </c>
      <c r="G126" s="4">
        <f>IF(入库登记!C126="","",入库登记!G126*(入库登记!H126-SUMIF(出库登记!$C$2:$C$51,入库登记!C126,出库登记!$D$2:$D$51)))</f>
        <v/>
      </c>
      <c r="H126" s="4">
        <f>IF(入库登记!C126="","",IF((入库登记!H126-SUMIF(出库登记!$C$2:$C$51,入库登记!C126,出库登记!$D$2:$D$51))&lt;=0,"缺货",IF((入库登记!H126-SUMIF(出库登记!$C$2:$C$51,入库登记!C126,出库登记!$D$2:$D$51))&lt;5,"紧张","充足")))</f>
        <v/>
      </c>
      <c r="I126" s="4" t="inlineStr"/>
    </row>
    <row r="127">
      <c r="A127" s="4">
        <f>IF(入库登记!C127="","",入库登记!C127)</f>
        <v/>
      </c>
      <c r="B127" s="4">
        <f>IF(入库登记!C127="","",入库登记!D127)</f>
        <v/>
      </c>
      <c r="C127" s="4">
        <f>IF(入库登记!C127="","",入库登记!E127)</f>
        <v/>
      </c>
      <c r="D127" s="4">
        <f>IF(入库登记!C127="",0,入库登记!H127)</f>
        <v/>
      </c>
      <c r="E127" s="4">
        <f>IF(入库登记!C127="","",SUMIF(出库登记!$C$2:$C$51,入库登记!C127,出库登记!$D$2:$D$51))</f>
        <v/>
      </c>
      <c r="F127" s="4">
        <f>IF(入库登记!C127="","",入库登记!H127-SUMIF(出库登记!$C$2:$C$51,入库登记!C127,出库登记!$D$2:$D$51))</f>
        <v/>
      </c>
      <c r="G127" s="4">
        <f>IF(入库登记!C127="","",入库登记!G127*(入库登记!H127-SUMIF(出库登记!$C$2:$C$51,入库登记!C127,出库登记!$D$2:$D$51)))</f>
        <v/>
      </c>
      <c r="H127" s="4">
        <f>IF(入库登记!C127="","",IF((入库登记!H127-SUMIF(出库登记!$C$2:$C$51,入库登记!C127,出库登记!$D$2:$D$51))&lt;=0,"缺货",IF((入库登记!H127-SUMIF(出库登记!$C$2:$C$51,入库登记!C127,出库登记!$D$2:$D$51))&lt;5,"紧张","充足")))</f>
        <v/>
      </c>
      <c r="I127" s="4" t="inlineStr"/>
    </row>
    <row r="128">
      <c r="A128" s="4">
        <f>IF(入库登记!C128="","",入库登记!C128)</f>
        <v/>
      </c>
      <c r="B128" s="4">
        <f>IF(入库登记!C128="","",入库登记!D128)</f>
        <v/>
      </c>
      <c r="C128" s="4">
        <f>IF(入库登记!C128="","",入库登记!E128)</f>
        <v/>
      </c>
      <c r="D128" s="4">
        <f>IF(入库登记!C128="",0,入库登记!H128)</f>
        <v/>
      </c>
      <c r="E128" s="4">
        <f>IF(入库登记!C128="","",SUMIF(出库登记!$C$2:$C$51,入库登记!C128,出库登记!$D$2:$D$51))</f>
        <v/>
      </c>
      <c r="F128" s="4">
        <f>IF(入库登记!C128="","",入库登记!H128-SUMIF(出库登记!$C$2:$C$51,入库登记!C128,出库登记!$D$2:$D$51))</f>
        <v/>
      </c>
      <c r="G128" s="4">
        <f>IF(入库登记!C128="","",入库登记!G128*(入库登记!H128-SUMIF(出库登记!$C$2:$C$51,入库登记!C128,出库登记!$D$2:$D$51)))</f>
        <v/>
      </c>
      <c r="H128" s="4">
        <f>IF(入库登记!C128="","",IF((入库登记!H128-SUMIF(出库登记!$C$2:$C$51,入库登记!C128,出库登记!$D$2:$D$51))&lt;=0,"缺货",IF((入库登记!H128-SUMIF(出库登记!$C$2:$C$51,入库登记!C128,出库登记!$D$2:$D$51))&lt;5,"紧张","充足")))</f>
        <v/>
      </c>
      <c r="I128" s="4" t="inlineStr"/>
    </row>
    <row r="129">
      <c r="A129" s="4">
        <f>IF(入库登记!C129="","",入库登记!C129)</f>
        <v/>
      </c>
      <c r="B129" s="4">
        <f>IF(入库登记!C129="","",入库登记!D129)</f>
        <v/>
      </c>
      <c r="C129" s="4">
        <f>IF(入库登记!C129="","",入库登记!E129)</f>
        <v/>
      </c>
      <c r="D129" s="4">
        <f>IF(入库登记!C129="",0,入库登记!H129)</f>
        <v/>
      </c>
      <c r="E129" s="4">
        <f>IF(入库登记!C129="","",SUMIF(出库登记!$C$2:$C$51,入库登记!C129,出库登记!$D$2:$D$51))</f>
        <v/>
      </c>
      <c r="F129" s="4">
        <f>IF(入库登记!C129="","",入库登记!H129-SUMIF(出库登记!$C$2:$C$51,入库登记!C129,出库登记!$D$2:$D$51))</f>
        <v/>
      </c>
      <c r="G129" s="4">
        <f>IF(入库登记!C129="","",入库登记!G129*(入库登记!H129-SUMIF(出库登记!$C$2:$C$51,入库登记!C129,出库登记!$D$2:$D$51)))</f>
        <v/>
      </c>
      <c r="H129" s="4">
        <f>IF(入库登记!C129="","",IF((入库登记!H129-SUMIF(出库登记!$C$2:$C$51,入库登记!C129,出库登记!$D$2:$D$51))&lt;=0,"缺货",IF((入库登记!H129-SUMIF(出库登记!$C$2:$C$51,入库登记!C129,出库登记!$D$2:$D$51))&lt;5,"紧张","充足")))</f>
        <v/>
      </c>
      <c r="I129" s="4" t="inlineStr"/>
    </row>
    <row r="130">
      <c r="A130" s="4">
        <f>IF(入库登记!C130="","",入库登记!C130)</f>
        <v/>
      </c>
      <c r="B130" s="4">
        <f>IF(入库登记!C130="","",入库登记!D130)</f>
        <v/>
      </c>
      <c r="C130" s="4">
        <f>IF(入库登记!C130="","",入库登记!E130)</f>
        <v/>
      </c>
      <c r="D130" s="4">
        <f>IF(入库登记!C130="",0,入库登记!H130)</f>
        <v/>
      </c>
      <c r="E130" s="4">
        <f>IF(入库登记!C130="","",SUMIF(出库登记!$C$2:$C$51,入库登记!C130,出库登记!$D$2:$D$51))</f>
        <v/>
      </c>
      <c r="F130" s="4">
        <f>IF(入库登记!C130="","",入库登记!H130-SUMIF(出库登记!$C$2:$C$51,入库登记!C130,出库登记!$D$2:$D$51))</f>
        <v/>
      </c>
      <c r="G130" s="4">
        <f>IF(入库登记!C130="","",入库登记!G130*(入库登记!H130-SUMIF(出库登记!$C$2:$C$51,入库登记!C130,出库登记!$D$2:$D$51)))</f>
        <v/>
      </c>
      <c r="H130" s="4">
        <f>IF(入库登记!C130="","",IF((入库登记!H130-SUMIF(出库登记!$C$2:$C$51,入库登记!C130,出库登记!$D$2:$D$51))&lt;=0,"缺货",IF((入库登记!H130-SUMIF(出库登记!$C$2:$C$51,入库登记!C130,出库登记!$D$2:$D$51))&lt;5,"紧张","充足")))</f>
        <v/>
      </c>
      <c r="I130" s="4" t="inlineStr"/>
    </row>
    <row r="131">
      <c r="A131" s="4">
        <f>IF(入库登记!C131="","",入库登记!C131)</f>
        <v/>
      </c>
      <c r="B131" s="4">
        <f>IF(入库登记!C131="","",入库登记!D131)</f>
        <v/>
      </c>
      <c r="C131" s="4">
        <f>IF(入库登记!C131="","",入库登记!E131)</f>
        <v/>
      </c>
      <c r="D131" s="4">
        <f>IF(入库登记!C131="",0,入库登记!H131)</f>
        <v/>
      </c>
      <c r="E131" s="4">
        <f>IF(入库登记!C131="","",SUMIF(出库登记!$C$2:$C$51,入库登记!C131,出库登记!$D$2:$D$51))</f>
        <v/>
      </c>
      <c r="F131" s="4">
        <f>IF(入库登记!C131="","",入库登记!H131-SUMIF(出库登记!$C$2:$C$51,入库登记!C131,出库登记!$D$2:$D$51))</f>
        <v/>
      </c>
      <c r="G131" s="4">
        <f>IF(入库登记!C131="","",入库登记!G131*(入库登记!H131-SUMIF(出库登记!$C$2:$C$51,入库登记!C131,出库登记!$D$2:$D$51)))</f>
        <v/>
      </c>
      <c r="H131" s="4">
        <f>IF(入库登记!C131="","",IF((入库登记!H131-SUMIF(出库登记!$C$2:$C$51,入库登记!C131,出库登记!$D$2:$D$51))&lt;=0,"缺货",IF((入库登记!H131-SUMIF(出库登记!$C$2:$C$51,入库登记!C131,出库登记!$D$2:$D$51))&lt;5,"紧张","充足")))</f>
        <v/>
      </c>
      <c r="I131" s="4" t="inlineStr"/>
    </row>
    <row r="132">
      <c r="A132" s="4">
        <f>IF(入库登记!C132="","",入库登记!C132)</f>
        <v/>
      </c>
      <c r="B132" s="4">
        <f>IF(入库登记!C132="","",入库登记!D132)</f>
        <v/>
      </c>
      <c r="C132" s="4">
        <f>IF(入库登记!C132="","",入库登记!E132)</f>
        <v/>
      </c>
      <c r="D132" s="4">
        <f>IF(入库登记!C132="",0,入库登记!H132)</f>
        <v/>
      </c>
      <c r="E132" s="4">
        <f>IF(入库登记!C132="","",SUMIF(出库登记!$C$2:$C$51,入库登记!C132,出库登记!$D$2:$D$51))</f>
        <v/>
      </c>
      <c r="F132" s="4">
        <f>IF(入库登记!C132="","",入库登记!H132-SUMIF(出库登记!$C$2:$C$51,入库登记!C132,出库登记!$D$2:$D$51))</f>
        <v/>
      </c>
      <c r="G132" s="4">
        <f>IF(入库登记!C132="","",入库登记!G132*(入库登记!H132-SUMIF(出库登记!$C$2:$C$51,入库登记!C132,出库登记!$D$2:$D$51)))</f>
        <v/>
      </c>
      <c r="H132" s="4">
        <f>IF(入库登记!C132="","",IF((入库登记!H132-SUMIF(出库登记!$C$2:$C$51,入库登记!C132,出库登记!$D$2:$D$51))&lt;=0,"缺货",IF((入库登记!H132-SUMIF(出库登记!$C$2:$C$51,入库登记!C132,出库登记!$D$2:$D$51))&lt;5,"紧张","充足")))</f>
        <v/>
      </c>
      <c r="I132" s="4" t="inlineStr"/>
    </row>
    <row r="133">
      <c r="A133" s="4">
        <f>IF(入库登记!C133="","",入库登记!C133)</f>
        <v/>
      </c>
      <c r="B133" s="4">
        <f>IF(入库登记!C133="","",入库登记!D133)</f>
        <v/>
      </c>
      <c r="C133" s="4">
        <f>IF(入库登记!C133="","",入库登记!E133)</f>
        <v/>
      </c>
      <c r="D133" s="4">
        <f>IF(入库登记!C133="",0,入库登记!H133)</f>
        <v/>
      </c>
      <c r="E133" s="4">
        <f>IF(入库登记!C133="","",SUMIF(出库登记!$C$2:$C$51,入库登记!C133,出库登记!$D$2:$D$51))</f>
        <v/>
      </c>
      <c r="F133" s="4">
        <f>IF(入库登记!C133="","",入库登记!H133-SUMIF(出库登记!$C$2:$C$51,入库登记!C133,出库登记!$D$2:$D$51))</f>
        <v/>
      </c>
      <c r="G133" s="4">
        <f>IF(入库登记!C133="","",入库登记!G133*(入库登记!H133-SUMIF(出库登记!$C$2:$C$51,入库登记!C133,出库登记!$D$2:$D$51)))</f>
        <v/>
      </c>
      <c r="H133" s="4">
        <f>IF(入库登记!C133="","",IF((入库登记!H133-SUMIF(出库登记!$C$2:$C$51,入库登记!C133,出库登记!$D$2:$D$51))&lt;=0,"缺货",IF((入库登记!H133-SUMIF(出库登记!$C$2:$C$51,入库登记!C133,出库登记!$D$2:$D$51))&lt;5,"紧张","充足")))</f>
        <v/>
      </c>
      <c r="I133" s="4" t="inlineStr"/>
    </row>
    <row r="134">
      <c r="A134" s="4">
        <f>IF(入库登记!C134="","",入库登记!C134)</f>
        <v/>
      </c>
      <c r="B134" s="4">
        <f>IF(入库登记!C134="","",入库登记!D134)</f>
        <v/>
      </c>
      <c r="C134" s="4">
        <f>IF(入库登记!C134="","",入库登记!E134)</f>
        <v/>
      </c>
      <c r="D134" s="4">
        <f>IF(入库登记!C134="",0,入库登记!H134)</f>
        <v/>
      </c>
      <c r="E134" s="4">
        <f>IF(入库登记!C134="","",SUMIF(出库登记!$C$2:$C$51,入库登记!C134,出库登记!$D$2:$D$51))</f>
        <v/>
      </c>
      <c r="F134" s="4">
        <f>IF(入库登记!C134="","",入库登记!H134-SUMIF(出库登记!$C$2:$C$51,入库登记!C134,出库登记!$D$2:$D$51))</f>
        <v/>
      </c>
      <c r="G134" s="4">
        <f>IF(入库登记!C134="","",入库登记!G134*(入库登记!H134-SUMIF(出库登记!$C$2:$C$51,入库登记!C134,出库登记!$D$2:$D$51)))</f>
        <v/>
      </c>
      <c r="H134" s="4">
        <f>IF(入库登记!C134="","",IF((入库登记!H134-SUMIF(出库登记!$C$2:$C$51,入库登记!C134,出库登记!$D$2:$D$51))&lt;=0,"缺货",IF((入库登记!H134-SUMIF(出库登记!$C$2:$C$51,入库登记!C134,出库登记!$D$2:$D$51))&lt;5,"紧张","充足")))</f>
        <v/>
      </c>
      <c r="I134" s="4" t="inlineStr"/>
    </row>
    <row r="135">
      <c r="A135" s="4">
        <f>IF(入库登记!C135="","",入库登记!C135)</f>
        <v/>
      </c>
      <c r="B135" s="4">
        <f>IF(入库登记!C135="","",入库登记!D135)</f>
        <v/>
      </c>
      <c r="C135" s="4">
        <f>IF(入库登记!C135="","",入库登记!E135)</f>
        <v/>
      </c>
      <c r="D135" s="4">
        <f>IF(入库登记!C135="",0,入库登记!H135)</f>
        <v/>
      </c>
      <c r="E135" s="4">
        <f>IF(入库登记!C135="","",SUMIF(出库登记!$C$2:$C$51,入库登记!C135,出库登记!$D$2:$D$51))</f>
        <v/>
      </c>
      <c r="F135" s="4">
        <f>IF(入库登记!C135="","",入库登记!H135-SUMIF(出库登记!$C$2:$C$51,入库登记!C135,出库登记!$D$2:$D$51))</f>
        <v/>
      </c>
      <c r="G135" s="4">
        <f>IF(入库登记!C135="","",入库登记!G135*(入库登记!H135-SUMIF(出库登记!$C$2:$C$51,入库登记!C135,出库登记!$D$2:$D$51)))</f>
        <v/>
      </c>
      <c r="H135" s="4">
        <f>IF(入库登记!C135="","",IF((入库登记!H135-SUMIF(出库登记!$C$2:$C$51,入库登记!C135,出库登记!$D$2:$D$51))&lt;=0,"缺货",IF((入库登记!H135-SUMIF(出库登记!$C$2:$C$51,入库登记!C135,出库登记!$D$2:$D$51))&lt;5,"紧张","充足")))</f>
        <v/>
      </c>
      <c r="I135" s="4" t="inlineStr"/>
    </row>
    <row r="136">
      <c r="A136" s="4">
        <f>IF(入库登记!C136="","",入库登记!C136)</f>
        <v/>
      </c>
      <c r="B136" s="4">
        <f>IF(入库登记!C136="","",入库登记!D136)</f>
        <v/>
      </c>
      <c r="C136" s="4">
        <f>IF(入库登记!C136="","",入库登记!E136)</f>
        <v/>
      </c>
      <c r="D136" s="4">
        <f>IF(入库登记!C136="",0,入库登记!H136)</f>
        <v/>
      </c>
      <c r="E136" s="4">
        <f>IF(入库登记!C136="","",SUMIF(出库登记!$C$2:$C$51,入库登记!C136,出库登记!$D$2:$D$51))</f>
        <v/>
      </c>
      <c r="F136" s="4">
        <f>IF(入库登记!C136="","",入库登记!H136-SUMIF(出库登记!$C$2:$C$51,入库登记!C136,出库登记!$D$2:$D$51))</f>
        <v/>
      </c>
      <c r="G136" s="4">
        <f>IF(入库登记!C136="","",入库登记!G136*(入库登记!H136-SUMIF(出库登记!$C$2:$C$51,入库登记!C136,出库登记!$D$2:$D$51)))</f>
        <v/>
      </c>
      <c r="H136" s="4">
        <f>IF(入库登记!C136="","",IF((入库登记!H136-SUMIF(出库登记!$C$2:$C$51,入库登记!C136,出库登记!$D$2:$D$51))&lt;=0,"缺货",IF((入库登记!H136-SUMIF(出库登记!$C$2:$C$51,入库登记!C136,出库登记!$D$2:$D$51))&lt;5,"紧张","充足")))</f>
        <v/>
      </c>
      <c r="I136" s="4" t="inlineStr"/>
    </row>
    <row r="137">
      <c r="A137" s="4">
        <f>IF(入库登记!C137="","",入库登记!C137)</f>
        <v/>
      </c>
      <c r="B137" s="4">
        <f>IF(入库登记!C137="","",入库登记!D137)</f>
        <v/>
      </c>
      <c r="C137" s="4">
        <f>IF(入库登记!C137="","",入库登记!E137)</f>
        <v/>
      </c>
      <c r="D137" s="4">
        <f>IF(入库登记!C137="",0,入库登记!H137)</f>
        <v/>
      </c>
      <c r="E137" s="4">
        <f>IF(入库登记!C137="","",SUMIF(出库登记!$C$2:$C$51,入库登记!C137,出库登记!$D$2:$D$51))</f>
        <v/>
      </c>
      <c r="F137" s="4">
        <f>IF(入库登记!C137="","",入库登记!H137-SUMIF(出库登记!$C$2:$C$51,入库登记!C137,出库登记!$D$2:$D$51))</f>
        <v/>
      </c>
      <c r="G137" s="4">
        <f>IF(入库登记!C137="","",入库登记!G137*(入库登记!H137-SUMIF(出库登记!$C$2:$C$51,入库登记!C137,出库登记!$D$2:$D$51)))</f>
        <v/>
      </c>
      <c r="H137" s="4">
        <f>IF(入库登记!C137="","",IF((入库登记!H137-SUMIF(出库登记!$C$2:$C$51,入库登记!C137,出库登记!$D$2:$D$51))&lt;=0,"缺货",IF((入库登记!H137-SUMIF(出库登记!$C$2:$C$51,入库登记!C137,出库登记!$D$2:$D$51))&lt;5,"紧张","充足")))</f>
        <v/>
      </c>
      <c r="I137" s="4" t="inlineStr"/>
    </row>
    <row r="138">
      <c r="A138" s="4">
        <f>IF(入库登记!C138="","",入库登记!C138)</f>
        <v/>
      </c>
      <c r="B138" s="4">
        <f>IF(入库登记!C138="","",入库登记!D138)</f>
        <v/>
      </c>
      <c r="C138" s="4">
        <f>IF(入库登记!C138="","",入库登记!E138)</f>
        <v/>
      </c>
      <c r="D138" s="4">
        <f>IF(入库登记!C138="",0,入库登记!H138)</f>
        <v/>
      </c>
      <c r="E138" s="4">
        <f>IF(入库登记!C138="","",SUMIF(出库登记!$C$2:$C$51,入库登记!C138,出库登记!$D$2:$D$51))</f>
        <v/>
      </c>
      <c r="F138" s="4">
        <f>IF(入库登记!C138="","",入库登记!H138-SUMIF(出库登记!$C$2:$C$51,入库登记!C138,出库登记!$D$2:$D$51))</f>
        <v/>
      </c>
      <c r="G138" s="4">
        <f>IF(入库登记!C138="","",入库登记!G138*(入库登记!H138-SUMIF(出库登记!$C$2:$C$51,入库登记!C138,出库登记!$D$2:$D$51)))</f>
        <v/>
      </c>
      <c r="H138" s="4">
        <f>IF(入库登记!C138="","",IF((入库登记!H138-SUMIF(出库登记!$C$2:$C$51,入库登记!C138,出库登记!$D$2:$D$51))&lt;=0,"缺货",IF((入库登记!H138-SUMIF(出库登记!$C$2:$C$51,入库登记!C138,出库登记!$D$2:$D$51))&lt;5,"紧张","充足")))</f>
        <v/>
      </c>
      <c r="I138" s="4" t="inlineStr"/>
    </row>
    <row r="139">
      <c r="A139" s="4">
        <f>IF(入库登记!C139="","",入库登记!C139)</f>
        <v/>
      </c>
      <c r="B139" s="4">
        <f>IF(入库登记!C139="","",入库登记!D139)</f>
        <v/>
      </c>
      <c r="C139" s="4">
        <f>IF(入库登记!C139="","",入库登记!E139)</f>
        <v/>
      </c>
      <c r="D139" s="4">
        <f>IF(入库登记!C139="",0,入库登记!H139)</f>
        <v/>
      </c>
      <c r="E139" s="4">
        <f>IF(入库登记!C139="","",SUMIF(出库登记!$C$2:$C$51,入库登记!C139,出库登记!$D$2:$D$51))</f>
        <v/>
      </c>
      <c r="F139" s="4">
        <f>IF(入库登记!C139="","",入库登记!H139-SUMIF(出库登记!$C$2:$C$51,入库登记!C139,出库登记!$D$2:$D$51))</f>
        <v/>
      </c>
      <c r="G139" s="4">
        <f>IF(入库登记!C139="","",入库登记!G139*(入库登记!H139-SUMIF(出库登记!$C$2:$C$51,入库登记!C139,出库登记!$D$2:$D$51)))</f>
        <v/>
      </c>
      <c r="H139" s="4">
        <f>IF(入库登记!C139="","",IF((入库登记!H139-SUMIF(出库登记!$C$2:$C$51,入库登记!C139,出库登记!$D$2:$D$51))&lt;=0,"缺货",IF((入库登记!H139-SUMIF(出库登记!$C$2:$C$51,入库登记!C139,出库登记!$D$2:$D$51))&lt;5,"紧张","充足")))</f>
        <v/>
      </c>
      <c r="I139" s="4" t="inlineStr"/>
    </row>
    <row r="140">
      <c r="A140" s="4">
        <f>IF(入库登记!C140="","",入库登记!C140)</f>
        <v/>
      </c>
      <c r="B140" s="4">
        <f>IF(入库登记!C140="","",入库登记!D140)</f>
        <v/>
      </c>
      <c r="C140" s="4">
        <f>IF(入库登记!C140="","",入库登记!E140)</f>
        <v/>
      </c>
      <c r="D140" s="4">
        <f>IF(入库登记!C140="",0,入库登记!H140)</f>
        <v/>
      </c>
      <c r="E140" s="4">
        <f>IF(入库登记!C140="","",SUMIF(出库登记!$C$2:$C$51,入库登记!C140,出库登记!$D$2:$D$51))</f>
        <v/>
      </c>
      <c r="F140" s="4">
        <f>IF(入库登记!C140="","",入库登记!H140-SUMIF(出库登记!$C$2:$C$51,入库登记!C140,出库登记!$D$2:$D$51))</f>
        <v/>
      </c>
      <c r="G140" s="4">
        <f>IF(入库登记!C140="","",入库登记!G140*(入库登记!H140-SUMIF(出库登记!$C$2:$C$51,入库登记!C140,出库登记!$D$2:$D$51)))</f>
        <v/>
      </c>
      <c r="H140" s="4">
        <f>IF(入库登记!C140="","",IF((入库登记!H140-SUMIF(出库登记!$C$2:$C$51,入库登记!C140,出库登记!$D$2:$D$51))&lt;=0,"缺货",IF((入库登记!H140-SUMIF(出库登记!$C$2:$C$51,入库登记!C140,出库登记!$D$2:$D$51))&lt;5,"紧张","充足")))</f>
        <v/>
      </c>
      <c r="I140" s="4" t="inlineStr"/>
    </row>
    <row r="141">
      <c r="A141" s="4">
        <f>IF(入库登记!C141="","",入库登记!C141)</f>
        <v/>
      </c>
      <c r="B141" s="4">
        <f>IF(入库登记!C141="","",入库登记!D141)</f>
        <v/>
      </c>
      <c r="C141" s="4">
        <f>IF(入库登记!C141="","",入库登记!E141)</f>
        <v/>
      </c>
      <c r="D141" s="4">
        <f>IF(入库登记!C141="",0,入库登记!H141)</f>
        <v/>
      </c>
      <c r="E141" s="4">
        <f>IF(入库登记!C141="","",SUMIF(出库登记!$C$2:$C$51,入库登记!C141,出库登记!$D$2:$D$51))</f>
        <v/>
      </c>
      <c r="F141" s="4">
        <f>IF(入库登记!C141="","",入库登记!H141-SUMIF(出库登记!$C$2:$C$51,入库登记!C141,出库登记!$D$2:$D$51))</f>
        <v/>
      </c>
      <c r="G141" s="4">
        <f>IF(入库登记!C141="","",入库登记!G141*(入库登记!H141-SUMIF(出库登记!$C$2:$C$51,入库登记!C141,出库登记!$D$2:$D$51)))</f>
        <v/>
      </c>
      <c r="H141" s="4">
        <f>IF(入库登记!C141="","",IF((入库登记!H141-SUMIF(出库登记!$C$2:$C$51,入库登记!C141,出库登记!$D$2:$D$51))&lt;=0,"缺货",IF((入库登记!H141-SUMIF(出库登记!$C$2:$C$51,入库登记!C141,出库登记!$D$2:$D$51))&lt;5,"紧张","充足")))</f>
        <v/>
      </c>
      <c r="I141" s="4" t="inlineStr"/>
    </row>
    <row r="142">
      <c r="A142" s="4">
        <f>IF(入库登记!C142="","",入库登记!C142)</f>
        <v/>
      </c>
      <c r="B142" s="4">
        <f>IF(入库登记!C142="","",入库登记!D142)</f>
        <v/>
      </c>
      <c r="C142" s="4">
        <f>IF(入库登记!C142="","",入库登记!E142)</f>
        <v/>
      </c>
      <c r="D142" s="4">
        <f>IF(入库登记!C142="",0,入库登记!H142)</f>
        <v/>
      </c>
      <c r="E142" s="4">
        <f>IF(入库登记!C142="","",SUMIF(出库登记!$C$2:$C$51,入库登记!C142,出库登记!$D$2:$D$51))</f>
        <v/>
      </c>
      <c r="F142" s="4">
        <f>IF(入库登记!C142="","",入库登记!H142-SUMIF(出库登记!$C$2:$C$51,入库登记!C142,出库登记!$D$2:$D$51))</f>
        <v/>
      </c>
      <c r="G142" s="4">
        <f>IF(入库登记!C142="","",入库登记!G142*(入库登记!H142-SUMIF(出库登记!$C$2:$C$51,入库登记!C142,出库登记!$D$2:$D$51)))</f>
        <v/>
      </c>
      <c r="H142" s="4">
        <f>IF(入库登记!C142="","",IF((入库登记!H142-SUMIF(出库登记!$C$2:$C$51,入库登记!C142,出库登记!$D$2:$D$51))&lt;=0,"缺货",IF((入库登记!H142-SUMIF(出库登记!$C$2:$C$51,入库登记!C142,出库登记!$D$2:$D$51))&lt;5,"紧张","充足")))</f>
        <v/>
      </c>
      <c r="I142" s="4" t="inlineStr"/>
    </row>
    <row r="143">
      <c r="A143" s="4">
        <f>IF(入库登记!C143="","",入库登记!C143)</f>
        <v/>
      </c>
      <c r="B143" s="4">
        <f>IF(入库登记!C143="","",入库登记!D143)</f>
        <v/>
      </c>
      <c r="C143" s="4">
        <f>IF(入库登记!C143="","",入库登记!E143)</f>
        <v/>
      </c>
      <c r="D143" s="4">
        <f>IF(入库登记!C143="",0,入库登记!H143)</f>
        <v/>
      </c>
      <c r="E143" s="4">
        <f>IF(入库登记!C143="","",SUMIF(出库登记!$C$2:$C$51,入库登记!C143,出库登记!$D$2:$D$51))</f>
        <v/>
      </c>
      <c r="F143" s="4">
        <f>IF(入库登记!C143="","",入库登记!H143-SUMIF(出库登记!$C$2:$C$51,入库登记!C143,出库登记!$D$2:$D$51))</f>
        <v/>
      </c>
      <c r="G143" s="4">
        <f>IF(入库登记!C143="","",入库登记!G143*(入库登记!H143-SUMIF(出库登记!$C$2:$C$51,入库登记!C143,出库登记!$D$2:$D$51)))</f>
        <v/>
      </c>
      <c r="H143" s="4">
        <f>IF(入库登记!C143="","",IF((入库登记!H143-SUMIF(出库登记!$C$2:$C$51,入库登记!C143,出库登记!$D$2:$D$51))&lt;=0,"缺货",IF((入库登记!H143-SUMIF(出库登记!$C$2:$C$51,入库登记!C143,出库登记!$D$2:$D$51))&lt;5,"紧张","充足")))</f>
        <v/>
      </c>
      <c r="I143" s="4" t="inlineStr"/>
    </row>
    <row r="144">
      <c r="A144" s="4">
        <f>IF(入库登记!C144="","",入库登记!C144)</f>
        <v/>
      </c>
      <c r="B144" s="4">
        <f>IF(入库登记!C144="","",入库登记!D144)</f>
        <v/>
      </c>
      <c r="C144" s="4">
        <f>IF(入库登记!C144="","",入库登记!E144)</f>
        <v/>
      </c>
      <c r="D144" s="4">
        <f>IF(入库登记!C144="",0,入库登记!H144)</f>
        <v/>
      </c>
      <c r="E144" s="4">
        <f>IF(入库登记!C144="","",SUMIF(出库登记!$C$2:$C$51,入库登记!C144,出库登记!$D$2:$D$51))</f>
        <v/>
      </c>
      <c r="F144" s="4">
        <f>IF(入库登记!C144="","",入库登记!H144-SUMIF(出库登记!$C$2:$C$51,入库登记!C144,出库登记!$D$2:$D$51))</f>
        <v/>
      </c>
      <c r="G144" s="4">
        <f>IF(入库登记!C144="","",入库登记!G144*(入库登记!H144-SUMIF(出库登记!$C$2:$C$51,入库登记!C144,出库登记!$D$2:$D$51)))</f>
        <v/>
      </c>
      <c r="H144" s="4">
        <f>IF(入库登记!C144="","",IF((入库登记!H144-SUMIF(出库登记!$C$2:$C$51,入库登记!C144,出库登记!$D$2:$D$51))&lt;=0,"缺货",IF((入库登记!H144-SUMIF(出库登记!$C$2:$C$51,入库登记!C144,出库登记!$D$2:$D$51))&lt;5,"紧张","充足")))</f>
        <v/>
      </c>
      <c r="I144" s="4" t="inlineStr"/>
    </row>
    <row r="145">
      <c r="A145" s="4">
        <f>IF(入库登记!C145="","",入库登记!C145)</f>
        <v/>
      </c>
      <c r="B145" s="4">
        <f>IF(入库登记!C145="","",入库登记!D145)</f>
        <v/>
      </c>
      <c r="C145" s="4">
        <f>IF(入库登记!C145="","",入库登记!E145)</f>
        <v/>
      </c>
      <c r="D145" s="4">
        <f>IF(入库登记!C145="",0,入库登记!H145)</f>
        <v/>
      </c>
      <c r="E145" s="4">
        <f>IF(入库登记!C145="","",SUMIF(出库登记!$C$2:$C$51,入库登记!C145,出库登记!$D$2:$D$51))</f>
        <v/>
      </c>
      <c r="F145" s="4">
        <f>IF(入库登记!C145="","",入库登记!H145-SUMIF(出库登记!$C$2:$C$51,入库登记!C145,出库登记!$D$2:$D$51))</f>
        <v/>
      </c>
      <c r="G145" s="4">
        <f>IF(入库登记!C145="","",入库登记!G145*(入库登记!H145-SUMIF(出库登记!$C$2:$C$51,入库登记!C145,出库登记!$D$2:$D$51)))</f>
        <v/>
      </c>
      <c r="H145" s="4">
        <f>IF(入库登记!C145="","",IF((入库登记!H145-SUMIF(出库登记!$C$2:$C$51,入库登记!C145,出库登记!$D$2:$D$51))&lt;=0,"缺货",IF((入库登记!H145-SUMIF(出库登记!$C$2:$C$51,入库登记!C145,出库登记!$D$2:$D$51))&lt;5,"紧张","充足")))</f>
        <v/>
      </c>
      <c r="I145" s="4" t="inlineStr"/>
    </row>
    <row r="146">
      <c r="A146" s="4">
        <f>IF(入库登记!C146="","",入库登记!C146)</f>
        <v/>
      </c>
      <c r="B146" s="4">
        <f>IF(入库登记!C146="","",入库登记!D146)</f>
        <v/>
      </c>
      <c r="C146" s="4">
        <f>IF(入库登记!C146="","",入库登记!E146)</f>
        <v/>
      </c>
      <c r="D146" s="4">
        <f>IF(入库登记!C146="",0,入库登记!H146)</f>
        <v/>
      </c>
      <c r="E146" s="4">
        <f>IF(入库登记!C146="","",SUMIF(出库登记!$C$2:$C$51,入库登记!C146,出库登记!$D$2:$D$51))</f>
        <v/>
      </c>
      <c r="F146" s="4">
        <f>IF(入库登记!C146="","",入库登记!H146-SUMIF(出库登记!$C$2:$C$51,入库登记!C146,出库登记!$D$2:$D$51))</f>
        <v/>
      </c>
      <c r="G146" s="4">
        <f>IF(入库登记!C146="","",入库登记!G146*(入库登记!H146-SUMIF(出库登记!$C$2:$C$51,入库登记!C146,出库登记!$D$2:$D$51)))</f>
        <v/>
      </c>
      <c r="H146" s="4">
        <f>IF(入库登记!C146="","",IF((入库登记!H146-SUMIF(出库登记!$C$2:$C$51,入库登记!C146,出库登记!$D$2:$D$51))&lt;=0,"缺货",IF((入库登记!H146-SUMIF(出库登记!$C$2:$C$51,入库登记!C146,出库登记!$D$2:$D$51))&lt;5,"紧张","充足")))</f>
        <v/>
      </c>
      <c r="I146" s="4" t="inlineStr"/>
    </row>
    <row r="147">
      <c r="A147" s="4">
        <f>IF(入库登记!C147="","",入库登记!C147)</f>
        <v/>
      </c>
      <c r="B147" s="4">
        <f>IF(入库登记!C147="","",入库登记!D147)</f>
        <v/>
      </c>
      <c r="C147" s="4">
        <f>IF(入库登记!C147="","",入库登记!E147)</f>
        <v/>
      </c>
      <c r="D147" s="4">
        <f>IF(入库登记!C147="",0,入库登记!H147)</f>
        <v/>
      </c>
      <c r="E147" s="4">
        <f>IF(入库登记!C147="","",SUMIF(出库登记!$C$2:$C$51,入库登记!C147,出库登记!$D$2:$D$51))</f>
        <v/>
      </c>
      <c r="F147" s="4">
        <f>IF(入库登记!C147="","",入库登记!H147-SUMIF(出库登记!$C$2:$C$51,入库登记!C147,出库登记!$D$2:$D$51))</f>
        <v/>
      </c>
      <c r="G147" s="4">
        <f>IF(入库登记!C147="","",入库登记!G147*(入库登记!H147-SUMIF(出库登记!$C$2:$C$51,入库登记!C147,出库登记!$D$2:$D$51)))</f>
        <v/>
      </c>
      <c r="H147" s="4">
        <f>IF(入库登记!C147="","",IF((入库登记!H147-SUMIF(出库登记!$C$2:$C$51,入库登记!C147,出库登记!$D$2:$D$51))&lt;=0,"缺货",IF((入库登记!H147-SUMIF(出库登记!$C$2:$C$51,入库登记!C147,出库登记!$D$2:$D$51))&lt;5,"紧张","充足")))</f>
        <v/>
      </c>
      <c r="I147" s="4" t="inlineStr"/>
    </row>
    <row r="148">
      <c r="A148" s="4">
        <f>IF(入库登记!C148="","",入库登记!C148)</f>
        <v/>
      </c>
      <c r="B148" s="4">
        <f>IF(入库登记!C148="","",入库登记!D148)</f>
        <v/>
      </c>
      <c r="C148" s="4">
        <f>IF(入库登记!C148="","",入库登记!E148)</f>
        <v/>
      </c>
      <c r="D148" s="4">
        <f>IF(入库登记!C148="",0,入库登记!H148)</f>
        <v/>
      </c>
      <c r="E148" s="4">
        <f>IF(入库登记!C148="","",SUMIF(出库登记!$C$2:$C$51,入库登记!C148,出库登记!$D$2:$D$51))</f>
        <v/>
      </c>
      <c r="F148" s="4">
        <f>IF(入库登记!C148="","",入库登记!H148-SUMIF(出库登记!$C$2:$C$51,入库登记!C148,出库登记!$D$2:$D$51))</f>
        <v/>
      </c>
      <c r="G148" s="4">
        <f>IF(入库登记!C148="","",入库登记!G148*(入库登记!H148-SUMIF(出库登记!$C$2:$C$51,入库登记!C148,出库登记!$D$2:$D$51)))</f>
        <v/>
      </c>
      <c r="H148" s="4">
        <f>IF(入库登记!C148="","",IF((入库登记!H148-SUMIF(出库登记!$C$2:$C$51,入库登记!C148,出库登记!$D$2:$D$51))&lt;=0,"缺货",IF((入库登记!H148-SUMIF(出库登记!$C$2:$C$51,入库登记!C148,出库登记!$D$2:$D$51))&lt;5,"紧张","充足")))</f>
        <v/>
      </c>
      <c r="I148" s="4" t="inlineStr"/>
    </row>
    <row r="149">
      <c r="A149" s="4">
        <f>IF(入库登记!C149="","",入库登记!C149)</f>
        <v/>
      </c>
      <c r="B149" s="4">
        <f>IF(入库登记!C149="","",入库登记!D149)</f>
        <v/>
      </c>
      <c r="C149" s="4">
        <f>IF(入库登记!C149="","",入库登记!E149)</f>
        <v/>
      </c>
      <c r="D149" s="4">
        <f>IF(入库登记!C149="",0,入库登记!H149)</f>
        <v/>
      </c>
      <c r="E149" s="4">
        <f>IF(入库登记!C149="","",SUMIF(出库登记!$C$2:$C$51,入库登记!C149,出库登记!$D$2:$D$51))</f>
        <v/>
      </c>
      <c r="F149" s="4">
        <f>IF(入库登记!C149="","",入库登记!H149-SUMIF(出库登记!$C$2:$C$51,入库登记!C149,出库登记!$D$2:$D$51))</f>
        <v/>
      </c>
      <c r="G149" s="4">
        <f>IF(入库登记!C149="","",入库登记!G149*(入库登记!H149-SUMIF(出库登记!$C$2:$C$51,入库登记!C149,出库登记!$D$2:$D$51)))</f>
        <v/>
      </c>
      <c r="H149" s="4">
        <f>IF(入库登记!C149="","",IF((入库登记!H149-SUMIF(出库登记!$C$2:$C$51,入库登记!C149,出库登记!$D$2:$D$51))&lt;=0,"缺货",IF((入库登记!H149-SUMIF(出库登记!$C$2:$C$51,入库登记!C149,出库登记!$D$2:$D$51))&lt;5,"紧张","充足")))</f>
        <v/>
      </c>
      <c r="I149" s="4" t="inlineStr"/>
    </row>
    <row r="150">
      <c r="A150" s="4">
        <f>IF(入库登记!C150="","",入库登记!C150)</f>
        <v/>
      </c>
      <c r="B150" s="4">
        <f>IF(入库登记!C150="","",入库登记!D150)</f>
        <v/>
      </c>
      <c r="C150" s="4">
        <f>IF(入库登记!C150="","",入库登记!E150)</f>
        <v/>
      </c>
      <c r="D150" s="4">
        <f>IF(入库登记!C150="",0,入库登记!H150)</f>
        <v/>
      </c>
      <c r="E150" s="4">
        <f>IF(入库登记!C150="","",SUMIF(出库登记!$C$2:$C$51,入库登记!C150,出库登记!$D$2:$D$51))</f>
        <v/>
      </c>
      <c r="F150" s="4">
        <f>IF(入库登记!C150="","",入库登记!H150-SUMIF(出库登记!$C$2:$C$51,入库登记!C150,出库登记!$D$2:$D$51))</f>
        <v/>
      </c>
      <c r="G150" s="4">
        <f>IF(入库登记!C150="","",入库登记!G150*(入库登记!H150-SUMIF(出库登记!$C$2:$C$51,入库登记!C150,出库登记!$D$2:$D$51)))</f>
        <v/>
      </c>
      <c r="H150" s="4">
        <f>IF(入库登记!C150="","",IF((入库登记!H150-SUMIF(出库登记!$C$2:$C$51,入库登记!C150,出库登记!$D$2:$D$51))&lt;=0,"缺货",IF((入库登记!H150-SUMIF(出库登记!$C$2:$C$51,入库登记!C150,出库登记!$D$2:$D$51))&lt;5,"紧张","充足")))</f>
        <v/>
      </c>
      <c r="I150" s="4" t="inlineStr"/>
    </row>
    <row r="151">
      <c r="A151" s="4">
        <f>IF(入库登记!C151="","",入库登记!C151)</f>
        <v/>
      </c>
      <c r="B151" s="4">
        <f>IF(入库登记!C151="","",入库登记!D151)</f>
        <v/>
      </c>
      <c r="C151" s="4">
        <f>IF(入库登记!C151="","",入库登记!E151)</f>
        <v/>
      </c>
      <c r="D151" s="4">
        <f>IF(入库登记!C151="",0,入库登记!H151)</f>
        <v/>
      </c>
      <c r="E151" s="4">
        <f>IF(入库登记!C151="","",SUMIF(出库登记!$C$2:$C$51,入库登记!C151,出库登记!$D$2:$D$51))</f>
        <v/>
      </c>
      <c r="F151" s="4">
        <f>IF(入库登记!C151="","",入库登记!H151-SUMIF(出库登记!$C$2:$C$51,入库登记!C151,出库登记!$D$2:$D$51))</f>
        <v/>
      </c>
      <c r="G151" s="4">
        <f>IF(入库登记!C151="","",入库登记!G151*(入库登记!H151-SUMIF(出库登记!$C$2:$C$51,入库登记!C151,出库登记!$D$2:$D$51)))</f>
        <v/>
      </c>
      <c r="H151" s="4">
        <f>IF(入库登记!C151="","",IF((入库登记!H151-SUMIF(出库登记!$C$2:$C$51,入库登记!C151,出库登记!$D$2:$D$51))&lt;=0,"缺货",IF((入库登记!H151-SUMIF(出库登记!$C$2:$C$51,入库登记!C151,出库登记!$D$2:$D$51))&lt;5,"紧张","充足")))</f>
        <v/>
      </c>
      <c r="I151" s="4" t="inlineStr"/>
    </row>
    <row r="152">
      <c r="A152" s="4">
        <f>IF(入库登记!C152="","",入库登记!C152)</f>
        <v/>
      </c>
      <c r="B152" s="4">
        <f>IF(入库登记!C152="","",入库登记!D152)</f>
        <v/>
      </c>
      <c r="C152" s="4">
        <f>IF(入库登记!C152="","",入库登记!E152)</f>
        <v/>
      </c>
      <c r="D152" s="4">
        <f>IF(入库登记!C152="",0,入库登记!H152)</f>
        <v/>
      </c>
      <c r="E152" s="4">
        <f>IF(入库登记!C152="","",SUMIF(出库登记!$C$2:$C$51,入库登记!C152,出库登记!$D$2:$D$51))</f>
        <v/>
      </c>
      <c r="F152" s="4">
        <f>IF(入库登记!C152="","",入库登记!H152-SUMIF(出库登记!$C$2:$C$51,入库登记!C152,出库登记!$D$2:$D$51))</f>
        <v/>
      </c>
      <c r="G152" s="4">
        <f>IF(入库登记!C152="","",入库登记!G152*(入库登记!H152-SUMIF(出库登记!$C$2:$C$51,入库登记!C152,出库登记!$D$2:$D$51)))</f>
        <v/>
      </c>
      <c r="H152" s="4">
        <f>IF(入库登记!C152="","",IF((入库登记!H152-SUMIF(出库登记!$C$2:$C$51,入库登记!C152,出库登记!$D$2:$D$51))&lt;=0,"缺货",IF((入库登记!H152-SUMIF(出库登记!$C$2:$C$51,入库登记!C152,出库登记!$D$2:$D$51))&lt;5,"紧张","充足")))</f>
        <v/>
      </c>
      <c r="I152" s="4" t="inlineStr"/>
    </row>
    <row r="153">
      <c r="A153" s="4">
        <f>IF(入库登记!C153="","",入库登记!C153)</f>
        <v/>
      </c>
      <c r="B153" s="4">
        <f>IF(入库登记!C153="","",入库登记!D153)</f>
        <v/>
      </c>
      <c r="C153" s="4">
        <f>IF(入库登记!C153="","",入库登记!E153)</f>
        <v/>
      </c>
      <c r="D153" s="4">
        <f>IF(入库登记!C153="",0,入库登记!H153)</f>
        <v/>
      </c>
      <c r="E153" s="4">
        <f>IF(入库登记!C153="","",SUMIF(出库登记!$C$2:$C$51,入库登记!C153,出库登记!$D$2:$D$51))</f>
        <v/>
      </c>
      <c r="F153" s="4">
        <f>IF(入库登记!C153="","",入库登记!H153-SUMIF(出库登记!$C$2:$C$51,入库登记!C153,出库登记!$D$2:$D$51))</f>
        <v/>
      </c>
      <c r="G153" s="4">
        <f>IF(入库登记!C153="","",入库登记!G153*(入库登记!H153-SUMIF(出库登记!$C$2:$C$51,入库登记!C153,出库登记!$D$2:$D$51)))</f>
        <v/>
      </c>
      <c r="H153" s="4">
        <f>IF(入库登记!C153="","",IF((入库登记!H153-SUMIF(出库登记!$C$2:$C$51,入库登记!C153,出库登记!$D$2:$D$51))&lt;=0,"缺货",IF((入库登记!H153-SUMIF(出库登记!$C$2:$C$51,入库登记!C153,出库登记!$D$2:$D$51))&lt;5,"紧张","充足")))</f>
        <v/>
      </c>
      <c r="I153" s="4" t="inlineStr"/>
    </row>
    <row r="154">
      <c r="A154" s="4">
        <f>IF(入库登记!C154="","",入库登记!C154)</f>
        <v/>
      </c>
      <c r="B154" s="4">
        <f>IF(入库登记!C154="","",入库登记!D154)</f>
        <v/>
      </c>
      <c r="C154" s="4">
        <f>IF(入库登记!C154="","",入库登记!E154)</f>
        <v/>
      </c>
      <c r="D154" s="4">
        <f>IF(入库登记!C154="",0,入库登记!H154)</f>
        <v/>
      </c>
      <c r="E154" s="4">
        <f>IF(入库登记!C154="","",SUMIF(出库登记!$C$2:$C$51,入库登记!C154,出库登记!$D$2:$D$51))</f>
        <v/>
      </c>
      <c r="F154" s="4">
        <f>IF(入库登记!C154="","",入库登记!H154-SUMIF(出库登记!$C$2:$C$51,入库登记!C154,出库登记!$D$2:$D$51))</f>
        <v/>
      </c>
      <c r="G154" s="4">
        <f>IF(入库登记!C154="","",入库登记!G154*(入库登记!H154-SUMIF(出库登记!$C$2:$C$51,入库登记!C154,出库登记!$D$2:$D$51)))</f>
        <v/>
      </c>
      <c r="H154" s="4">
        <f>IF(入库登记!C154="","",IF((入库登记!H154-SUMIF(出库登记!$C$2:$C$51,入库登记!C154,出库登记!$D$2:$D$51))&lt;=0,"缺货",IF((入库登记!H154-SUMIF(出库登记!$C$2:$C$51,入库登记!C154,出库登记!$D$2:$D$51))&lt;5,"紧张","充足")))</f>
        <v/>
      </c>
      <c r="I154" s="4" t="inlineStr"/>
    </row>
    <row r="155">
      <c r="A155" s="4">
        <f>IF(入库登记!C155="","",入库登记!C155)</f>
        <v/>
      </c>
      <c r="B155" s="4">
        <f>IF(入库登记!C155="","",入库登记!D155)</f>
        <v/>
      </c>
      <c r="C155" s="4">
        <f>IF(入库登记!C155="","",入库登记!E155)</f>
        <v/>
      </c>
      <c r="D155" s="4">
        <f>IF(入库登记!C155="",0,入库登记!H155)</f>
        <v/>
      </c>
      <c r="E155" s="4">
        <f>IF(入库登记!C155="","",SUMIF(出库登记!$C$2:$C$51,入库登记!C155,出库登记!$D$2:$D$51))</f>
        <v/>
      </c>
      <c r="F155" s="4">
        <f>IF(入库登记!C155="","",入库登记!H155-SUMIF(出库登记!$C$2:$C$51,入库登记!C155,出库登记!$D$2:$D$51))</f>
        <v/>
      </c>
      <c r="G155" s="4">
        <f>IF(入库登记!C155="","",入库登记!G155*(入库登记!H155-SUMIF(出库登记!$C$2:$C$51,入库登记!C155,出库登记!$D$2:$D$51)))</f>
        <v/>
      </c>
      <c r="H155" s="4">
        <f>IF(入库登记!C155="","",IF((入库登记!H155-SUMIF(出库登记!$C$2:$C$51,入库登记!C155,出库登记!$D$2:$D$51))&lt;=0,"缺货",IF((入库登记!H155-SUMIF(出库登记!$C$2:$C$51,入库登记!C155,出库登记!$D$2:$D$51))&lt;5,"紧张","充足")))</f>
        <v/>
      </c>
      <c r="I155" s="4" t="inlineStr"/>
    </row>
    <row r="156">
      <c r="A156" s="4">
        <f>IF(入库登记!C156="","",入库登记!C156)</f>
        <v/>
      </c>
      <c r="B156" s="4">
        <f>IF(入库登记!C156="","",入库登记!D156)</f>
        <v/>
      </c>
      <c r="C156" s="4">
        <f>IF(入库登记!C156="","",入库登记!E156)</f>
        <v/>
      </c>
      <c r="D156" s="4">
        <f>IF(入库登记!C156="",0,入库登记!H156)</f>
        <v/>
      </c>
      <c r="E156" s="4">
        <f>IF(入库登记!C156="","",SUMIF(出库登记!$C$2:$C$51,入库登记!C156,出库登记!$D$2:$D$51))</f>
        <v/>
      </c>
      <c r="F156" s="4">
        <f>IF(入库登记!C156="","",入库登记!H156-SUMIF(出库登记!$C$2:$C$51,入库登记!C156,出库登记!$D$2:$D$51))</f>
        <v/>
      </c>
      <c r="G156" s="4">
        <f>IF(入库登记!C156="","",入库登记!G156*(入库登记!H156-SUMIF(出库登记!$C$2:$C$51,入库登记!C156,出库登记!$D$2:$D$51)))</f>
        <v/>
      </c>
      <c r="H156" s="4">
        <f>IF(入库登记!C156="","",IF((入库登记!H156-SUMIF(出库登记!$C$2:$C$51,入库登记!C156,出库登记!$D$2:$D$51))&lt;=0,"缺货",IF((入库登记!H156-SUMIF(出库登记!$C$2:$C$51,入库登记!C156,出库登记!$D$2:$D$51))&lt;5,"紧张","充足")))</f>
        <v/>
      </c>
      <c r="I156" s="4" t="inlineStr"/>
    </row>
    <row r="157">
      <c r="A157" s="4">
        <f>IF(入库登记!C157="","",入库登记!C157)</f>
        <v/>
      </c>
      <c r="B157" s="4">
        <f>IF(入库登记!C157="","",入库登记!D157)</f>
        <v/>
      </c>
      <c r="C157" s="4">
        <f>IF(入库登记!C157="","",入库登记!E157)</f>
        <v/>
      </c>
      <c r="D157" s="4">
        <f>IF(入库登记!C157="",0,入库登记!H157)</f>
        <v/>
      </c>
      <c r="E157" s="4">
        <f>IF(入库登记!C157="","",SUMIF(出库登记!$C$2:$C$51,入库登记!C157,出库登记!$D$2:$D$51))</f>
        <v/>
      </c>
      <c r="F157" s="4">
        <f>IF(入库登记!C157="","",入库登记!H157-SUMIF(出库登记!$C$2:$C$51,入库登记!C157,出库登记!$D$2:$D$51))</f>
        <v/>
      </c>
      <c r="G157" s="4">
        <f>IF(入库登记!C157="","",入库登记!G157*(入库登记!H157-SUMIF(出库登记!$C$2:$C$51,入库登记!C157,出库登记!$D$2:$D$51)))</f>
        <v/>
      </c>
      <c r="H157" s="4">
        <f>IF(入库登记!C157="","",IF((入库登记!H157-SUMIF(出库登记!$C$2:$C$51,入库登记!C157,出库登记!$D$2:$D$51))&lt;=0,"缺货",IF((入库登记!H157-SUMIF(出库登记!$C$2:$C$51,入库登记!C157,出库登记!$D$2:$D$51))&lt;5,"紧张","充足")))</f>
        <v/>
      </c>
      <c r="I157" s="4" t="inlineStr"/>
    </row>
    <row r="158">
      <c r="A158" s="4">
        <f>IF(入库登记!C158="","",入库登记!C158)</f>
        <v/>
      </c>
      <c r="B158" s="4">
        <f>IF(入库登记!C158="","",入库登记!D158)</f>
        <v/>
      </c>
      <c r="C158" s="4">
        <f>IF(入库登记!C158="","",入库登记!E158)</f>
        <v/>
      </c>
      <c r="D158" s="4">
        <f>IF(入库登记!C158="",0,入库登记!H158)</f>
        <v/>
      </c>
      <c r="E158" s="4">
        <f>IF(入库登记!C158="","",SUMIF(出库登记!$C$2:$C$51,入库登记!C158,出库登记!$D$2:$D$51))</f>
        <v/>
      </c>
      <c r="F158" s="4">
        <f>IF(入库登记!C158="","",入库登记!H158-SUMIF(出库登记!$C$2:$C$51,入库登记!C158,出库登记!$D$2:$D$51))</f>
        <v/>
      </c>
      <c r="G158" s="4">
        <f>IF(入库登记!C158="","",入库登记!G158*(入库登记!H158-SUMIF(出库登记!$C$2:$C$51,入库登记!C158,出库登记!$D$2:$D$51)))</f>
        <v/>
      </c>
      <c r="H158" s="4">
        <f>IF(入库登记!C158="","",IF((入库登记!H158-SUMIF(出库登记!$C$2:$C$51,入库登记!C158,出库登记!$D$2:$D$51))&lt;=0,"缺货",IF((入库登记!H158-SUMIF(出库登记!$C$2:$C$51,入库登记!C158,出库登记!$D$2:$D$51))&lt;5,"紧张","充足")))</f>
        <v/>
      </c>
      <c r="I158" s="4" t="inlineStr"/>
    </row>
    <row r="159">
      <c r="A159" s="4">
        <f>IF(入库登记!C159="","",入库登记!C159)</f>
        <v/>
      </c>
      <c r="B159" s="4">
        <f>IF(入库登记!C159="","",入库登记!D159)</f>
        <v/>
      </c>
      <c r="C159" s="4">
        <f>IF(入库登记!C159="","",入库登记!E159)</f>
        <v/>
      </c>
      <c r="D159" s="4">
        <f>IF(入库登记!C159="",0,入库登记!H159)</f>
        <v/>
      </c>
      <c r="E159" s="4">
        <f>IF(入库登记!C159="","",SUMIF(出库登记!$C$2:$C$51,入库登记!C159,出库登记!$D$2:$D$51))</f>
        <v/>
      </c>
      <c r="F159" s="4">
        <f>IF(入库登记!C159="","",入库登记!H159-SUMIF(出库登记!$C$2:$C$51,入库登记!C159,出库登记!$D$2:$D$51))</f>
        <v/>
      </c>
      <c r="G159" s="4">
        <f>IF(入库登记!C159="","",入库登记!G159*(入库登记!H159-SUMIF(出库登记!$C$2:$C$51,入库登记!C159,出库登记!$D$2:$D$51)))</f>
        <v/>
      </c>
      <c r="H159" s="4">
        <f>IF(入库登记!C159="","",IF((入库登记!H159-SUMIF(出库登记!$C$2:$C$51,入库登记!C159,出库登记!$D$2:$D$51))&lt;=0,"缺货",IF((入库登记!H159-SUMIF(出库登记!$C$2:$C$51,入库登记!C159,出库登记!$D$2:$D$51))&lt;5,"紧张","充足")))</f>
        <v/>
      </c>
      <c r="I159" s="4" t="inlineStr"/>
    </row>
    <row r="160">
      <c r="A160" s="4">
        <f>IF(入库登记!C160="","",入库登记!C160)</f>
        <v/>
      </c>
      <c r="B160" s="4">
        <f>IF(入库登记!C160="","",入库登记!D160)</f>
        <v/>
      </c>
      <c r="C160" s="4">
        <f>IF(入库登记!C160="","",入库登记!E160)</f>
        <v/>
      </c>
      <c r="D160" s="4">
        <f>IF(入库登记!C160="",0,入库登记!H160)</f>
        <v/>
      </c>
      <c r="E160" s="4">
        <f>IF(入库登记!C160="","",SUMIF(出库登记!$C$2:$C$51,入库登记!C160,出库登记!$D$2:$D$51))</f>
        <v/>
      </c>
      <c r="F160" s="4">
        <f>IF(入库登记!C160="","",入库登记!H160-SUMIF(出库登记!$C$2:$C$51,入库登记!C160,出库登记!$D$2:$D$51))</f>
        <v/>
      </c>
      <c r="G160" s="4">
        <f>IF(入库登记!C160="","",入库登记!G160*(入库登记!H160-SUMIF(出库登记!$C$2:$C$51,入库登记!C160,出库登记!$D$2:$D$51)))</f>
        <v/>
      </c>
      <c r="H160" s="4">
        <f>IF(入库登记!C160="","",IF((入库登记!H160-SUMIF(出库登记!$C$2:$C$51,入库登记!C160,出库登记!$D$2:$D$51))&lt;=0,"缺货",IF((入库登记!H160-SUMIF(出库登记!$C$2:$C$51,入库登记!C160,出库登记!$D$2:$D$51))&lt;5,"紧张","充足")))</f>
        <v/>
      </c>
      <c r="I160" s="4" t="inlineStr"/>
    </row>
    <row r="161">
      <c r="A161" s="4">
        <f>IF(入库登记!C161="","",入库登记!C161)</f>
        <v/>
      </c>
      <c r="B161" s="4">
        <f>IF(入库登记!C161="","",入库登记!D161)</f>
        <v/>
      </c>
      <c r="C161" s="4">
        <f>IF(入库登记!C161="","",入库登记!E161)</f>
        <v/>
      </c>
      <c r="D161" s="4">
        <f>IF(入库登记!C161="",0,入库登记!H161)</f>
        <v/>
      </c>
      <c r="E161" s="4">
        <f>IF(入库登记!C161="","",SUMIF(出库登记!$C$2:$C$51,入库登记!C161,出库登记!$D$2:$D$51))</f>
        <v/>
      </c>
      <c r="F161" s="4">
        <f>IF(入库登记!C161="","",入库登记!H161-SUMIF(出库登记!$C$2:$C$51,入库登记!C161,出库登记!$D$2:$D$51))</f>
        <v/>
      </c>
      <c r="G161" s="4">
        <f>IF(入库登记!C161="","",入库登记!G161*(入库登记!H161-SUMIF(出库登记!$C$2:$C$51,入库登记!C161,出库登记!$D$2:$D$51)))</f>
        <v/>
      </c>
      <c r="H161" s="4">
        <f>IF(入库登记!C161="","",IF((入库登记!H161-SUMIF(出库登记!$C$2:$C$51,入库登记!C161,出库登记!$D$2:$D$51))&lt;=0,"缺货",IF((入库登记!H161-SUMIF(出库登记!$C$2:$C$51,入库登记!C161,出库登记!$D$2:$D$51))&lt;5,"紧张","充足")))</f>
        <v/>
      </c>
      <c r="I161" s="4" t="inlineStr"/>
    </row>
    <row r="162">
      <c r="A162" s="4">
        <f>IF(入库登记!C162="","",入库登记!C162)</f>
        <v/>
      </c>
      <c r="B162" s="4">
        <f>IF(入库登记!C162="","",入库登记!D162)</f>
        <v/>
      </c>
      <c r="C162" s="4">
        <f>IF(入库登记!C162="","",入库登记!E162)</f>
        <v/>
      </c>
      <c r="D162" s="4">
        <f>IF(入库登记!C162="",0,入库登记!H162)</f>
        <v/>
      </c>
      <c r="E162" s="4">
        <f>IF(入库登记!C162="","",SUMIF(出库登记!$C$2:$C$51,入库登记!C162,出库登记!$D$2:$D$51))</f>
        <v/>
      </c>
      <c r="F162" s="4">
        <f>IF(入库登记!C162="","",入库登记!H162-SUMIF(出库登记!$C$2:$C$51,入库登记!C162,出库登记!$D$2:$D$51))</f>
        <v/>
      </c>
      <c r="G162" s="4">
        <f>IF(入库登记!C162="","",入库登记!G162*(入库登记!H162-SUMIF(出库登记!$C$2:$C$51,入库登记!C162,出库登记!$D$2:$D$51)))</f>
        <v/>
      </c>
      <c r="H162" s="4">
        <f>IF(入库登记!C162="","",IF((入库登记!H162-SUMIF(出库登记!$C$2:$C$51,入库登记!C162,出库登记!$D$2:$D$51))&lt;=0,"缺货",IF((入库登记!H162-SUMIF(出库登记!$C$2:$C$51,入库登记!C162,出库登记!$D$2:$D$51))&lt;5,"紧张","充足")))</f>
        <v/>
      </c>
      <c r="I162" s="4" t="inlineStr"/>
    </row>
    <row r="163">
      <c r="A163" s="4">
        <f>IF(入库登记!C163="","",入库登记!C163)</f>
        <v/>
      </c>
      <c r="B163" s="4">
        <f>IF(入库登记!C163="","",入库登记!D163)</f>
        <v/>
      </c>
      <c r="C163" s="4">
        <f>IF(入库登记!C163="","",入库登记!E163)</f>
        <v/>
      </c>
      <c r="D163" s="4">
        <f>IF(入库登记!C163="",0,入库登记!H163)</f>
        <v/>
      </c>
      <c r="E163" s="4">
        <f>IF(入库登记!C163="","",SUMIF(出库登记!$C$2:$C$51,入库登记!C163,出库登记!$D$2:$D$51))</f>
        <v/>
      </c>
      <c r="F163" s="4">
        <f>IF(入库登记!C163="","",入库登记!H163-SUMIF(出库登记!$C$2:$C$51,入库登记!C163,出库登记!$D$2:$D$51))</f>
        <v/>
      </c>
      <c r="G163" s="4">
        <f>IF(入库登记!C163="","",入库登记!G163*(入库登记!H163-SUMIF(出库登记!$C$2:$C$51,入库登记!C163,出库登记!$D$2:$D$51)))</f>
        <v/>
      </c>
      <c r="H163" s="4">
        <f>IF(入库登记!C163="","",IF((入库登记!H163-SUMIF(出库登记!$C$2:$C$51,入库登记!C163,出库登记!$D$2:$D$51))&lt;=0,"缺货",IF((入库登记!H163-SUMIF(出库登记!$C$2:$C$51,入库登记!C163,出库登记!$D$2:$D$51))&lt;5,"紧张","充足")))</f>
        <v/>
      </c>
      <c r="I163" s="4" t="inlineStr"/>
    </row>
    <row r="164">
      <c r="A164" s="4">
        <f>IF(入库登记!C164="","",入库登记!C164)</f>
        <v/>
      </c>
      <c r="B164" s="4">
        <f>IF(入库登记!C164="","",入库登记!D164)</f>
        <v/>
      </c>
      <c r="C164" s="4">
        <f>IF(入库登记!C164="","",入库登记!E164)</f>
        <v/>
      </c>
      <c r="D164" s="4">
        <f>IF(入库登记!C164="",0,入库登记!H164)</f>
        <v/>
      </c>
      <c r="E164" s="4">
        <f>IF(入库登记!C164="","",SUMIF(出库登记!$C$2:$C$51,入库登记!C164,出库登记!$D$2:$D$51))</f>
        <v/>
      </c>
      <c r="F164" s="4">
        <f>IF(入库登记!C164="","",入库登记!H164-SUMIF(出库登记!$C$2:$C$51,入库登记!C164,出库登记!$D$2:$D$51))</f>
        <v/>
      </c>
      <c r="G164" s="4">
        <f>IF(入库登记!C164="","",入库登记!G164*(入库登记!H164-SUMIF(出库登记!$C$2:$C$51,入库登记!C164,出库登记!$D$2:$D$51)))</f>
        <v/>
      </c>
      <c r="H164" s="4">
        <f>IF(入库登记!C164="","",IF((入库登记!H164-SUMIF(出库登记!$C$2:$C$51,入库登记!C164,出库登记!$D$2:$D$51))&lt;=0,"缺货",IF((入库登记!H164-SUMIF(出库登记!$C$2:$C$51,入库登记!C164,出库登记!$D$2:$D$51))&lt;5,"紧张","充足")))</f>
        <v/>
      </c>
      <c r="I164" s="4" t="inlineStr"/>
    </row>
    <row r="165">
      <c r="A165" s="4">
        <f>IF(入库登记!C165="","",入库登记!C165)</f>
        <v/>
      </c>
      <c r="B165" s="4">
        <f>IF(入库登记!C165="","",入库登记!D165)</f>
        <v/>
      </c>
      <c r="C165" s="4">
        <f>IF(入库登记!C165="","",入库登记!E165)</f>
        <v/>
      </c>
      <c r="D165" s="4">
        <f>IF(入库登记!C165="",0,入库登记!H165)</f>
        <v/>
      </c>
      <c r="E165" s="4">
        <f>IF(入库登记!C165="","",SUMIF(出库登记!$C$2:$C$51,入库登记!C165,出库登记!$D$2:$D$51))</f>
        <v/>
      </c>
      <c r="F165" s="4">
        <f>IF(入库登记!C165="","",入库登记!H165-SUMIF(出库登记!$C$2:$C$51,入库登记!C165,出库登记!$D$2:$D$51))</f>
        <v/>
      </c>
      <c r="G165" s="4">
        <f>IF(入库登记!C165="","",入库登记!G165*(入库登记!H165-SUMIF(出库登记!$C$2:$C$51,入库登记!C165,出库登记!$D$2:$D$51)))</f>
        <v/>
      </c>
      <c r="H165" s="4">
        <f>IF(入库登记!C165="","",IF((入库登记!H165-SUMIF(出库登记!$C$2:$C$51,入库登记!C165,出库登记!$D$2:$D$51))&lt;=0,"缺货",IF((入库登记!H165-SUMIF(出库登记!$C$2:$C$51,入库登记!C165,出库登记!$D$2:$D$51))&lt;5,"紧张","充足")))</f>
        <v/>
      </c>
      <c r="I165" s="4" t="inlineStr"/>
    </row>
    <row r="166">
      <c r="A166" s="4">
        <f>IF(入库登记!C166="","",入库登记!C166)</f>
        <v/>
      </c>
      <c r="B166" s="4">
        <f>IF(入库登记!C166="","",入库登记!D166)</f>
        <v/>
      </c>
      <c r="C166" s="4">
        <f>IF(入库登记!C166="","",入库登记!E166)</f>
        <v/>
      </c>
      <c r="D166" s="4">
        <f>IF(入库登记!C166="",0,入库登记!H166)</f>
        <v/>
      </c>
      <c r="E166" s="4">
        <f>IF(入库登记!C166="","",SUMIF(出库登记!$C$2:$C$51,入库登记!C166,出库登记!$D$2:$D$51))</f>
        <v/>
      </c>
      <c r="F166" s="4">
        <f>IF(入库登记!C166="","",入库登记!H166-SUMIF(出库登记!$C$2:$C$51,入库登记!C166,出库登记!$D$2:$D$51))</f>
        <v/>
      </c>
      <c r="G166" s="4">
        <f>IF(入库登记!C166="","",入库登记!G166*(入库登记!H166-SUMIF(出库登记!$C$2:$C$51,入库登记!C166,出库登记!$D$2:$D$51)))</f>
        <v/>
      </c>
      <c r="H166" s="4">
        <f>IF(入库登记!C166="","",IF((入库登记!H166-SUMIF(出库登记!$C$2:$C$51,入库登记!C166,出库登记!$D$2:$D$51))&lt;=0,"缺货",IF((入库登记!H166-SUMIF(出库登记!$C$2:$C$51,入库登记!C166,出库登记!$D$2:$D$51))&lt;5,"紧张","充足")))</f>
        <v/>
      </c>
      <c r="I166" s="4" t="inlineStr"/>
    </row>
    <row r="167">
      <c r="A167" s="4">
        <f>IF(入库登记!C167="","",入库登记!C167)</f>
        <v/>
      </c>
      <c r="B167" s="4">
        <f>IF(入库登记!C167="","",入库登记!D167)</f>
        <v/>
      </c>
      <c r="C167" s="4">
        <f>IF(入库登记!C167="","",入库登记!E167)</f>
        <v/>
      </c>
      <c r="D167" s="4">
        <f>IF(入库登记!C167="",0,入库登记!H167)</f>
        <v/>
      </c>
      <c r="E167" s="4">
        <f>IF(入库登记!C167="","",SUMIF(出库登记!$C$2:$C$51,入库登记!C167,出库登记!$D$2:$D$51))</f>
        <v/>
      </c>
      <c r="F167" s="4">
        <f>IF(入库登记!C167="","",入库登记!H167-SUMIF(出库登记!$C$2:$C$51,入库登记!C167,出库登记!$D$2:$D$51))</f>
        <v/>
      </c>
      <c r="G167" s="4">
        <f>IF(入库登记!C167="","",入库登记!G167*(入库登记!H167-SUMIF(出库登记!$C$2:$C$51,入库登记!C167,出库登记!$D$2:$D$51)))</f>
        <v/>
      </c>
      <c r="H167" s="4">
        <f>IF(入库登记!C167="","",IF((入库登记!H167-SUMIF(出库登记!$C$2:$C$51,入库登记!C167,出库登记!$D$2:$D$51))&lt;=0,"缺货",IF((入库登记!H167-SUMIF(出库登记!$C$2:$C$51,入库登记!C167,出库登记!$D$2:$D$51))&lt;5,"紧张","充足")))</f>
        <v/>
      </c>
      <c r="I167" s="4" t="inlineStr"/>
    </row>
    <row r="168">
      <c r="A168" s="4">
        <f>IF(入库登记!C168="","",入库登记!C168)</f>
        <v/>
      </c>
      <c r="B168" s="4">
        <f>IF(入库登记!C168="","",入库登记!D168)</f>
        <v/>
      </c>
      <c r="C168" s="4">
        <f>IF(入库登记!C168="","",入库登记!E168)</f>
        <v/>
      </c>
      <c r="D168" s="4">
        <f>IF(入库登记!C168="",0,入库登记!H168)</f>
        <v/>
      </c>
      <c r="E168" s="4">
        <f>IF(入库登记!C168="","",SUMIF(出库登记!$C$2:$C$51,入库登记!C168,出库登记!$D$2:$D$51))</f>
        <v/>
      </c>
      <c r="F168" s="4">
        <f>IF(入库登记!C168="","",入库登记!H168-SUMIF(出库登记!$C$2:$C$51,入库登记!C168,出库登记!$D$2:$D$51))</f>
        <v/>
      </c>
      <c r="G168" s="4">
        <f>IF(入库登记!C168="","",入库登记!G168*(入库登记!H168-SUMIF(出库登记!$C$2:$C$51,入库登记!C168,出库登记!$D$2:$D$51)))</f>
        <v/>
      </c>
      <c r="H168" s="4">
        <f>IF(入库登记!C168="","",IF((入库登记!H168-SUMIF(出库登记!$C$2:$C$51,入库登记!C168,出库登记!$D$2:$D$51))&lt;=0,"缺货",IF((入库登记!H168-SUMIF(出库登记!$C$2:$C$51,入库登记!C168,出库登记!$D$2:$D$51))&lt;5,"紧张","充足")))</f>
        <v/>
      </c>
      <c r="I168" s="4" t="inlineStr"/>
    </row>
    <row r="169">
      <c r="A169" s="4">
        <f>IF(入库登记!C169="","",入库登记!C169)</f>
        <v/>
      </c>
      <c r="B169" s="4">
        <f>IF(入库登记!C169="","",入库登记!D169)</f>
        <v/>
      </c>
      <c r="C169" s="4">
        <f>IF(入库登记!C169="","",入库登记!E169)</f>
        <v/>
      </c>
      <c r="D169" s="4">
        <f>IF(入库登记!C169="",0,入库登记!H169)</f>
        <v/>
      </c>
      <c r="E169" s="4">
        <f>IF(入库登记!C169="","",SUMIF(出库登记!$C$2:$C$51,入库登记!C169,出库登记!$D$2:$D$51))</f>
        <v/>
      </c>
      <c r="F169" s="4">
        <f>IF(入库登记!C169="","",入库登记!H169-SUMIF(出库登记!$C$2:$C$51,入库登记!C169,出库登记!$D$2:$D$51))</f>
        <v/>
      </c>
      <c r="G169" s="4">
        <f>IF(入库登记!C169="","",入库登记!G169*(入库登记!H169-SUMIF(出库登记!$C$2:$C$51,入库登记!C169,出库登记!$D$2:$D$51)))</f>
        <v/>
      </c>
      <c r="H169" s="4">
        <f>IF(入库登记!C169="","",IF((入库登记!H169-SUMIF(出库登记!$C$2:$C$51,入库登记!C169,出库登记!$D$2:$D$51))&lt;=0,"缺货",IF((入库登记!H169-SUMIF(出库登记!$C$2:$C$51,入库登记!C169,出库登记!$D$2:$D$51))&lt;5,"紧张","充足")))</f>
        <v/>
      </c>
      <c r="I169" s="4" t="inlineStr"/>
    </row>
    <row r="170">
      <c r="A170" s="4">
        <f>IF(入库登记!C170="","",入库登记!C170)</f>
        <v/>
      </c>
      <c r="B170" s="4">
        <f>IF(入库登记!C170="","",入库登记!D170)</f>
        <v/>
      </c>
      <c r="C170" s="4">
        <f>IF(入库登记!C170="","",入库登记!E170)</f>
        <v/>
      </c>
      <c r="D170" s="4">
        <f>IF(入库登记!C170="",0,入库登记!H170)</f>
        <v/>
      </c>
      <c r="E170" s="4">
        <f>IF(入库登记!C170="","",SUMIF(出库登记!$C$2:$C$51,入库登记!C170,出库登记!$D$2:$D$51))</f>
        <v/>
      </c>
      <c r="F170" s="4">
        <f>IF(入库登记!C170="","",入库登记!H170-SUMIF(出库登记!$C$2:$C$51,入库登记!C170,出库登记!$D$2:$D$51))</f>
        <v/>
      </c>
      <c r="G170" s="4">
        <f>IF(入库登记!C170="","",入库登记!G170*(入库登记!H170-SUMIF(出库登记!$C$2:$C$51,入库登记!C170,出库登记!$D$2:$D$51)))</f>
        <v/>
      </c>
      <c r="H170" s="4">
        <f>IF(入库登记!C170="","",IF((入库登记!H170-SUMIF(出库登记!$C$2:$C$51,入库登记!C170,出库登记!$D$2:$D$51))&lt;=0,"缺货",IF((入库登记!H170-SUMIF(出库登记!$C$2:$C$51,入库登记!C170,出库登记!$D$2:$D$51))&lt;5,"紧张","充足")))</f>
        <v/>
      </c>
      <c r="I170" s="4" t="inlineStr"/>
    </row>
    <row r="171">
      <c r="A171" s="4">
        <f>IF(入库登记!C171="","",入库登记!C171)</f>
        <v/>
      </c>
      <c r="B171" s="4">
        <f>IF(入库登记!C171="","",入库登记!D171)</f>
        <v/>
      </c>
      <c r="C171" s="4">
        <f>IF(入库登记!C171="","",入库登记!E171)</f>
        <v/>
      </c>
      <c r="D171" s="4">
        <f>IF(入库登记!C171="",0,入库登记!H171)</f>
        <v/>
      </c>
      <c r="E171" s="4">
        <f>IF(入库登记!C171="","",SUMIF(出库登记!$C$2:$C$51,入库登记!C171,出库登记!$D$2:$D$51))</f>
        <v/>
      </c>
      <c r="F171" s="4">
        <f>IF(入库登记!C171="","",入库登记!H171-SUMIF(出库登记!$C$2:$C$51,入库登记!C171,出库登记!$D$2:$D$51))</f>
        <v/>
      </c>
      <c r="G171" s="4">
        <f>IF(入库登记!C171="","",入库登记!G171*(入库登记!H171-SUMIF(出库登记!$C$2:$C$51,入库登记!C171,出库登记!$D$2:$D$51)))</f>
        <v/>
      </c>
      <c r="H171" s="4">
        <f>IF(入库登记!C171="","",IF((入库登记!H171-SUMIF(出库登记!$C$2:$C$51,入库登记!C171,出库登记!$D$2:$D$51))&lt;=0,"缺货",IF((入库登记!H171-SUMIF(出库登记!$C$2:$C$51,入库登记!C171,出库登记!$D$2:$D$51))&lt;5,"紧张","充足")))</f>
        <v/>
      </c>
      <c r="I171" s="4" t="inlineStr"/>
    </row>
    <row r="172">
      <c r="A172" s="4">
        <f>IF(入库登记!C172="","",入库登记!C172)</f>
        <v/>
      </c>
      <c r="B172" s="4">
        <f>IF(入库登记!C172="","",入库登记!D172)</f>
        <v/>
      </c>
      <c r="C172" s="4">
        <f>IF(入库登记!C172="","",入库登记!E172)</f>
        <v/>
      </c>
      <c r="D172" s="4">
        <f>IF(入库登记!C172="",0,入库登记!H172)</f>
        <v/>
      </c>
      <c r="E172" s="4">
        <f>IF(入库登记!C172="","",SUMIF(出库登记!$C$2:$C$51,入库登记!C172,出库登记!$D$2:$D$51))</f>
        <v/>
      </c>
      <c r="F172" s="4">
        <f>IF(入库登记!C172="","",入库登记!H172-SUMIF(出库登记!$C$2:$C$51,入库登记!C172,出库登记!$D$2:$D$51))</f>
        <v/>
      </c>
      <c r="G172" s="4">
        <f>IF(入库登记!C172="","",入库登记!G172*(入库登记!H172-SUMIF(出库登记!$C$2:$C$51,入库登记!C172,出库登记!$D$2:$D$51)))</f>
        <v/>
      </c>
      <c r="H172" s="4">
        <f>IF(入库登记!C172="","",IF((入库登记!H172-SUMIF(出库登记!$C$2:$C$51,入库登记!C172,出库登记!$D$2:$D$51))&lt;=0,"缺货",IF((入库登记!H172-SUMIF(出库登记!$C$2:$C$51,入库登记!C172,出库登记!$D$2:$D$51))&lt;5,"紧张","充足")))</f>
        <v/>
      </c>
      <c r="I172" s="4" t="inlineStr"/>
    </row>
    <row r="173">
      <c r="A173" s="4">
        <f>IF(入库登记!C173="","",入库登记!C173)</f>
        <v/>
      </c>
      <c r="B173" s="4">
        <f>IF(入库登记!C173="","",入库登记!D173)</f>
        <v/>
      </c>
      <c r="C173" s="4">
        <f>IF(入库登记!C173="","",入库登记!E173)</f>
        <v/>
      </c>
      <c r="D173" s="4">
        <f>IF(入库登记!C173="",0,入库登记!H173)</f>
        <v/>
      </c>
      <c r="E173" s="4">
        <f>IF(入库登记!C173="","",SUMIF(出库登记!$C$2:$C$51,入库登记!C173,出库登记!$D$2:$D$51))</f>
        <v/>
      </c>
      <c r="F173" s="4">
        <f>IF(入库登记!C173="","",入库登记!H173-SUMIF(出库登记!$C$2:$C$51,入库登记!C173,出库登记!$D$2:$D$51))</f>
        <v/>
      </c>
      <c r="G173" s="4">
        <f>IF(入库登记!C173="","",入库登记!G173*(入库登记!H173-SUMIF(出库登记!$C$2:$C$51,入库登记!C173,出库登记!$D$2:$D$51)))</f>
        <v/>
      </c>
      <c r="H173" s="4">
        <f>IF(入库登记!C173="","",IF((入库登记!H173-SUMIF(出库登记!$C$2:$C$51,入库登记!C173,出库登记!$D$2:$D$51))&lt;=0,"缺货",IF((入库登记!H173-SUMIF(出库登记!$C$2:$C$51,入库登记!C173,出库登记!$D$2:$D$51))&lt;5,"紧张","充足")))</f>
        <v/>
      </c>
      <c r="I173" s="4" t="inlineStr"/>
    </row>
    <row r="174">
      <c r="A174" s="4">
        <f>IF(入库登记!C174="","",入库登记!C174)</f>
        <v/>
      </c>
      <c r="B174" s="4">
        <f>IF(入库登记!C174="","",入库登记!D174)</f>
        <v/>
      </c>
      <c r="C174" s="4">
        <f>IF(入库登记!C174="","",入库登记!E174)</f>
        <v/>
      </c>
      <c r="D174" s="4">
        <f>IF(入库登记!C174="",0,入库登记!H174)</f>
        <v/>
      </c>
      <c r="E174" s="4">
        <f>IF(入库登记!C174="","",SUMIF(出库登记!$C$2:$C$51,入库登记!C174,出库登记!$D$2:$D$51))</f>
        <v/>
      </c>
      <c r="F174" s="4">
        <f>IF(入库登记!C174="","",入库登记!H174-SUMIF(出库登记!$C$2:$C$51,入库登记!C174,出库登记!$D$2:$D$51))</f>
        <v/>
      </c>
      <c r="G174" s="4">
        <f>IF(入库登记!C174="","",入库登记!G174*(入库登记!H174-SUMIF(出库登记!$C$2:$C$51,入库登记!C174,出库登记!$D$2:$D$51)))</f>
        <v/>
      </c>
      <c r="H174" s="4">
        <f>IF(入库登记!C174="","",IF((入库登记!H174-SUMIF(出库登记!$C$2:$C$51,入库登记!C174,出库登记!$D$2:$D$51))&lt;=0,"缺货",IF((入库登记!H174-SUMIF(出库登记!$C$2:$C$51,入库登记!C174,出库登记!$D$2:$D$51))&lt;5,"紧张","充足")))</f>
        <v/>
      </c>
      <c r="I174" s="4" t="inlineStr"/>
    </row>
    <row r="175">
      <c r="A175" s="4">
        <f>IF(入库登记!C175="","",入库登记!C175)</f>
        <v/>
      </c>
      <c r="B175" s="4">
        <f>IF(入库登记!C175="","",入库登记!D175)</f>
        <v/>
      </c>
      <c r="C175" s="4">
        <f>IF(入库登记!C175="","",入库登记!E175)</f>
        <v/>
      </c>
      <c r="D175" s="4">
        <f>IF(入库登记!C175="",0,入库登记!H175)</f>
        <v/>
      </c>
      <c r="E175" s="4">
        <f>IF(入库登记!C175="","",SUMIF(出库登记!$C$2:$C$51,入库登记!C175,出库登记!$D$2:$D$51))</f>
        <v/>
      </c>
      <c r="F175" s="4">
        <f>IF(入库登记!C175="","",入库登记!H175-SUMIF(出库登记!$C$2:$C$51,入库登记!C175,出库登记!$D$2:$D$51))</f>
        <v/>
      </c>
      <c r="G175" s="4">
        <f>IF(入库登记!C175="","",入库登记!G175*(入库登记!H175-SUMIF(出库登记!$C$2:$C$51,入库登记!C175,出库登记!$D$2:$D$51)))</f>
        <v/>
      </c>
      <c r="H175" s="4">
        <f>IF(入库登记!C175="","",IF((入库登记!H175-SUMIF(出库登记!$C$2:$C$51,入库登记!C175,出库登记!$D$2:$D$51))&lt;=0,"缺货",IF((入库登记!H175-SUMIF(出库登记!$C$2:$C$51,入库登记!C175,出库登记!$D$2:$D$51))&lt;5,"紧张","充足")))</f>
        <v/>
      </c>
      <c r="I175" s="4" t="inlineStr"/>
    </row>
    <row r="176">
      <c r="A176" s="4">
        <f>IF(入库登记!C176="","",入库登记!C176)</f>
        <v/>
      </c>
      <c r="B176" s="4">
        <f>IF(入库登记!C176="","",入库登记!D176)</f>
        <v/>
      </c>
      <c r="C176" s="4">
        <f>IF(入库登记!C176="","",入库登记!E176)</f>
        <v/>
      </c>
      <c r="D176" s="4">
        <f>IF(入库登记!C176="",0,入库登记!H176)</f>
        <v/>
      </c>
      <c r="E176" s="4">
        <f>IF(入库登记!C176="","",SUMIF(出库登记!$C$2:$C$51,入库登记!C176,出库登记!$D$2:$D$51))</f>
        <v/>
      </c>
      <c r="F176" s="4">
        <f>IF(入库登记!C176="","",入库登记!H176-SUMIF(出库登记!$C$2:$C$51,入库登记!C176,出库登记!$D$2:$D$51))</f>
        <v/>
      </c>
      <c r="G176" s="4">
        <f>IF(入库登记!C176="","",入库登记!G176*(入库登记!H176-SUMIF(出库登记!$C$2:$C$51,入库登记!C176,出库登记!$D$2:$D$51)))</f>
        <v/>
      </c>
      <c r="H176" s="4">
        <f>IF(入库登记!C176="","",IF((入库登记!H176-SUMIF(出库登记!$C$2:$C$51,入库登记!C176,出库登记!$D$2:$D$51))&lt;=0,"缺货",IF((入库登记!H176-SUMIF(出库登记!$C$2:$C$51,入库登记!C176,出库登记!$D$2:$D$51))&lt;5,"紧张","充足")))</f>
        <v/>
      </c>
      <c r="I176" s="4" t="inlineStr"/>
    </row>
    <row r="177">
      <c r="A177" s="4">
        <f>IF(入库登记!C177="","",入库登记!C177)</f>
        <v/>
      </c>
      <c r="B177" s="4">
        <f>IF(入库登记!C177="","",入库登记!D177)</f>
        <v/>
      </c>
      <c r="C177" s="4">
        <f>IF(入库登记!C177="","",入库登记!E177)</f>
        <v/>
      </c>
      <c r="D177" s="4">
        <f>IF(入库登记!C177="",0,入库登记!H177)</f>
        <v/>
      </c>
      <c r="E177" s="4">
        <f>IF(入库登记!C177="","",SUMIF(出库登记!$C$2:$C$51,入库登记!C177,出库登记!$D$2:$D$51))</f>
        <v/>
      </c>
      <c r="F177" s="4">
        <f>IF(入库登记!C177="","",入库登记!H177-SUMIF(出库登记!$C$2:$C$51,入库登记!C177,出库登记!$D$2:$D$51))</f>
        <v/>
      </c>
      <c r="G177" s="4">
        <f>IF(入库登记!C177="","",入库登记!G177*(入库登记!H177-SUMIF(出库登记!$C$2:$C$51,入库登记!C177,出库登记!$D$2:$D$51)))</f>
        <v/>
      </c>
      <c r="H177" s="4">
        <f>IF(入库登记!C177="","",IF((入库登记!H177-SUMIF(出库登记!$C$2:$C$51,入库登记!C177,出库登记!$D$2:$D$51))&lt;=0,"缺货",IF((入库登记!H177-SUMIF(出库登记!$C$2:$C$51,入库登记!C177,出库登记!$D$2:$D$51))&lt;5,"紧张","充足")))</f>
        <v/>
      </c>
      <c r="I177" s="4" t="inlineStr"/>
    </row>
    <row r="178">
      <c r="A178" s="4">
        <f>IF(入库登记!C178="","",入库登记!C178)</f>
        <v/>
      </c>
      <c r="B178" s="4">
        <f>IF(入库登记!C178="","",入库登记!D178)</f>
        <v/>
      </c>
      <c r="C178" s="4">
        <f>IF(入库登记!C178="","",入库登记!E178)</f>
        <v/>
      </c>
      <c r="D178" s="4">
        <f>IF(入库登记!C178="",0,入库登记!H178)</f>
        <v/>
      </c>
      <c r="E178" s="4">
        <f>IF(入库登记!C178="","",SUMIF(出库登记!$C$2:$C$51,入库登记!C178,出库登记!$D$2:$D$51))</f>
        <v/>
      </c>
      <c r="F178" s="4">
        <f>IF(入库登记!C178="","",入库登记!H178-SUMIF(出库登记!$C$2:$C$51,入库登记!C178,出库登记!$D$2:$D$51))</f>
        <v/>
      </c>
      <c r="G178" s="4">
        <f>IF(入库登记!C178="","",入库登记!G178*(入库登记!H178-SUMIF(出库登记!$C$2:$C$51,入库登记!C178,出库登记!$D$2:$D$51)))</f>
        <v/>
      </c>
      <c r="H178" s="4">
        <f>IF(入库登记!C178="","",IF((入库登记!H178-SUMIF(出库登记!$C$2:$C$51,入库登记!C178,出库登记!$D$2:$D$51))&lt;=0,"缺货",IF((入库登记!H178-SUMIF(出库登记!$C$2:$C$51,入库登记!C178,出库登记!$D$2:$D$51))&lt;5,"紧张","充足")))</f>
        <v/>
      </c>
      <c r="I178" s="4" t="inlineStr"/>
    </row>
    <row r="179">
      <c r="A179" s="4">
        <f>IF(入库登记!C179="","",入库登记!C179)</f>
        <v/>
      </c>
      <c r="B179" s="4">
        <f>IF(入库登记!C179="","",入库登记!D179)</f>
        <v/>
      </c>
      <c r="C179" s="4">
        <f>IF(入库登记!C179="","",入库登记!E179)</f>
        <v/>
      </c>
      <c r="D179" s="4">
        <f>IF(入库登记!C179="",0,入库登记!H179)</f>
        <v/>
      </c>
      <c r="E179" s="4">
        <f>IF(入库登记!C179="","",SUMIF(出库登记!$C$2:$C$51,入库登记!C179,出库登记!$D$2:$D$51))</f>
        <v/>
      </c>
      <c r="F179" s="4">
        <f>IF(入库登记!C179="","",入库登记!H179-SUMIF(出库登记!$C$2:$C$51,入库登记!C179,出库登记!$D$2:$D$51))</f>
        <v/>
      </c>
      <c r="G179" s="4">
        <f>IF(入库登记!C179="","",入库登记!G179*(入库登记!H179-SUMIF(出库登记!$C$2:$C$51,入库登记!C179,出库登记!$D$2:$D$51)))</f>
        <v/>
      </c>
      <c r="H179" s="4">
        <f>IF(入库登记!C179="","",IF((入库登记!H179-SUMIF(出库登记!$C$2:$C$51,入库登记!C179,出库登记!$D$2:$D$51))&lt;=0,"缺货",IF((入库登记!H179-SUMIF(出库登记!$C$2:$C$51,入库登记!C179,出库登记!$D$2:$D$51))&lt;5,"紧张","充足")))</f>
        <v/>
      </c>
      <c r="I179" s="4" t="inlineStr"/>
    </row>
    <row r="180">
      <c r="A180" s="4">
        <f>IF(入库登记!C180="","",入库登记!C180)</f>
        <v/>
      </c>
      <c r="B180" s="4">
        <f>IF(入库登记!C180="","",入库登记!D180)</f>
        <v/>
      </c>
      <c r="C180" s="4">
        <f>IF(入库登记!C180="","",入库登记!E180)</f>
        <v/>
      </c>
      <c r="D180" s="4">
        <f>IF(入库登记!C180="",0,入库登记!H180)</f>
        <v/>
      </c>
      <c r="E180" s="4">
        <f>IF(入库登记!C180="","",SUMIF(出库登记!$C$2:$C$51,入库登记!C180,出库登记!$D$2:$D$51))</f>
        <v/>
      </c>
      <c r="F180" s="4">
        <f>IF(入库登记!C180="","",入库登记!H180-SUMIF(出库登记!$C$2:$C$51,入库登记!C180,出库登记!$D$2:$D$51))</f>
        <v/>
      </c>
      <c r="G180" s="4">
        <f>IF(入库登记!C180="","",入库登记!G180*(入库登记!H180-SUMIF(出库登记!$C$2:$C$51,入库登记!C180,出库登记!$D$2:$D$51)))</f>
        <v/>
      </c>
      <c r="H180" s="4">
        <f>IF(入库登记!C180="","",IF((入库登记!H180-SUMIF(出库登记!$C$2:$C$51,入库登记!C180,出库登记!$D$2:$D$51))&lt;=0,"缺货",IF((入库登记!H180-SUMIF(出库登记!$C$2:$C$51,入库登记!C180,出库登记!$D$2:$D$51))&lt;5,"紧张","充足")))</f>
        <v/>
      </c>
      <c r="I180" s="4" t="inlineStr"/>
    </row>
    <row r="181">
      <c r="A181" s="4">
        <f>IF(入库登记!C181="","",入库登记!C181)</f>
        <v/>
      </c>
      <c r="B181" s="4">
        <f>IF(入库登记!C181="","",入库登记!D181)</f>
        <v/>
      </c>
      <c r="C181" s="4">
        <f>IF(入库登记!C181="","",入库登记!E181)</f>
        <v/>
      </c>
      <c r="D181" s="4">
        <f>IF(入库登记!C181="",0,入库登记!H181)</f>
        <v/>
      </c>
      <c r="E181" s="4">
        <f>IF(入库登记!C181="","",SUMIF(出库登记!$C$2:$C$51,入库登记!C181,出库登记!$D$2:$D$51))</f>
        <v/>
      </c>
      <c r="F181" s="4">
        <f>IF(入库登记!C181="","",入库登记!H181-SUMIF(出库登记!$C$2:$C$51,入库登记!C181,出库登记!$D$2:$D$51))</f>
        <v/>
      </c>
      <c r="G181" s="4">
        <f>IF(入库登记!C181="","",入库登记!G181*(入库登记!H181-SUMIF(出库登记!$C$2:$C$51,入库登记!C181,出库登记!$D$2:$D$51)))</f>
        <v/>
      </c>
      <c r="H181" s="4">
        <f>IF(入库登记!C181="","",IF((入库登记!H181-SUMIF(出库登记!$C$2:$C$51,入库登记!C181,出库登记!$D$2:$D$51))&lt;=0,"缺货",IF((入库登记!H181-SUMIF(出库登记!$C$2:$C$51,入库登记!C181,出库登记!$D$2:$D$51))&lt;5,"紧张","充足")))</f>
        <v/>
      </c>
      <c r="I181" s="4" t="inlineStr"/>
    </row>
    <row r="182">
      <c r="A182" s="4">
        <f>IF(入库登记!C182="","",入库登记!C182)</f>
        <v/>
      </c>
      <c r="B182" s="4">
        <f>IF(入库登记!C182="","",入库登记!D182)</f>
        <v/>
      </c>
      <c r="C182" s="4">
        <f>IF(入库登记!C182="","",入库登记!E182)</f>
        <v/>
      </c>
      <c r="D182" s="4">
        <f>IF(入库登记!C182="",0,入库登记!H182)</f>
        <v/>
      </c>
      <c r="E182" s="4">
        <f>IF(入库登记!C182="","",SUMIF(出库登记!$C$2:$C$51,入库登记!C182,出库登记!$D$2:$D$51))</f>
        <v/>
      </c>
      <c r="F182" s="4">
        <f>IF(入库登记!C182="","",入库登记!H182-SUMIF(出库登记!$C$2:$C$51,入库登记!C182,出库登记!$D$2:$D$51))</f>
        <v/>
      </c>
      <c r="G182" s="4">
        <f>IF(入库登记!C182="","",入库登记!G182*(入库登记!H182-SUMIF(出库登记!$C$2:$C$51,入库登记!C182,出库登记!$D$2:$D$51)))</f>
        <v/>
      </c>
      <c r="H182" s="4">
        <f>IF(入库登记!C182="","",IF((入库登记!H182-SUMIF(出库登记!$C$2:$C$51,入库登记!C182,出库登记!$D$2:$D$51))&lt;=0,"缺货",IF((入库登记!H182-SUMIF(出库登记!$C$2:$C$51,入库登记!C182,出库登记!$D$2:$D$51))&lt;5,"紧张","充足")))</f>
        <v/>
      </c>
      <c r="I182" s="4" t="inlineStr"/>
    </row>
    <row r="183">
      <c r="A183" s="4">
        <f>IF(入库登记!C183="","",入库登记!C183)</f>
        <v/>
      </c>
      <c r="B183" s="4">
        <f>IF(入库登记!C183="","",入库登记!D183)</f>
        <v/>
      </c>
      <c r="C183" s="4">
        <f>IF(入库登记!C183="","",入库登记!E183)</f>
        <v/>
      </c>
      <c r="D183" s="4">
        <f>IF(入库登记!C183="",0,入库登记!H183)</f>
        <v/>
      </c>
      <c r="E183" s="4">
        <f>IF(入库登记!C183="","",SUMIF(出库登记!$C$2:$C$51,入库登记!C183,出库登记!$D$2:$D$51))</f>
        <v/>
      </c>
      <c r="F183" s="4">
        <f>IF(入库登记!C183="","",入库登记!H183-SUMIF(出库登记!$C$2:$C$51,入库登记!C183,出库登记!$D$2:$D$51))</f>
        <v/>
      </c>
      <c r="G183" s="4">
        <f>IF(入库登记!C183="","",入库登记!G183*(入库登记!H183-SUMIF(出库登记!$C$2:$C$51,入库登记!C183,出库登记!$D$2:$D$51)))</f>
        <v/>
      </c>
      <c r="H183" s="4">
        <f>IF(入库登记!C183="","",IF((入库登记!H183-SUMIF(出库登记!$C$2:$C$51,入库登记!C183,出库登记!$D$2:$D$51))&lt;=0,"缺货",IF((入库登记!H183-SUMIF(出库登记!$C$2:$C$51,入库登记!C183,出库登记!$D$2:$D$51))&lt;5,"紧张","充足")))</f>
        <v/>
      </c>
      <c r="I183" s="4" t="inlineStr"/>
    </row>
    <row r="184">
      <c r="A184" s="4">
        <f>IF(入库登记!C184="","",入库登记!C184)</f>
        <v/>
      </c>
      <c r="B184" s="4">
        <f>IF(入库登记!C184="","",入库登记!D184)</f>
        <v/>
      </c>
      <c r="C184" s="4">
        <f>IF(入库登记!C184="","",入库登记!E184)</f>
        <v/>
      </c>
      <c r="D184" s="4">
        <f>IF(入库登记!C184="",0,入库登记!H184)</f>
        <v/>
      </c>
      <c r="E184" s="4">
        <f>IF(入库登记!C184="","",SUMIF(出库登记!$C$2:$C$51,入库登记!C184,出库登记!$D$2:$D$51))</f>
        <v/>
      </c>
      <c r="F184" s="4">
        <f>IF(入库登记!C184="","",入库登记!H184-SUMIF(出库登记!$C$2:$C$51,入库登记!C184,出库登记!$D$2:$D$51))</f>
        <v/>
      </c>
      <c r="G184" s="4">
        <f>IF(入库登记!C184="","",入库登记!G184*(入库登记!H184-SUMIF(出库登记!$C$2:$C$51,入库登记!C184,出库登记!$D$2:$D$51)))</f>
        <v/>
      </c>
      <c r="H184" s="4">
        <f>IF(入库登记!C184="","",IF((入库登记!H184-SUMIF(出库登记!$C$2:$C$51,入库登记!C184,出库登记!$D$2:$D$51))&lt;=0,"缺货",IF((入库登记!H184-SUMIF(出库登记!$C$2:$C$51,入库登记!C184,出库登记!$D$2:$D$51))&lt;5,"紧张","充足")))</f>
        <v/>
      </c>
      <c r="I184" s="4" t="inlineStr"/>
    </row>
    <row r="185">
      <c r="A185" s="4">
        <f>IF(入库登记!C185="","",入库登记!C185)</f>
        <v/>
      </c>
      <c r="B185" s="4">
        <f>IF(入库登记!C185="","",入库登记!D185)</f>
        <v/>
      </c>
      <c r="C185" s="4">
        <f>IF(入库登记!C185="","",入库登记!E185)</f>
        <v/>
      </c>
      <c r="D185" s="4">
        <f>IF(入库登记!C185="",0,入库登记!H185)</f>
        <v/>
      </c>
      <c r="E185" s="4">
        <f>IF(入库登记!C185="","",SUMIF(出库登记!$C$2:$C$51,入库登记!C185,出库登记!$D$2:$D$51))</f>
        <v/>
      </c>
      <c r="F185" s="4">
        <f>IF(入库登记!C185="","",入库登记!H185-SUMIF(出库登记!$C$2:$C$51,入库登记!C185,出库登记!$D$2:$D$51))</f>
        <v/>
      </c>
      <c r="G185" s="4">
        <f>IF(入库登记!C185="","",入库登记!G185*(入库登记!H185-SUMIF(出库登记!$C$2:$C$51,入库登记!C185,出库登记!$D$2:$D$51)))</f>
        <v/>
      </c>
      <c r="H185" s="4">
        <f>IF(入库登记!C185="","",IF((入库登记!H185-SUMIF(出库登记!$C$2:$C$51,入库登记!C185,出库登记!$D$2:$D$51))&lt;=0,"缺货",IF((入库登记!H185-SUMIF(出库登记!$C$2:$C$51,入库登记!C185,出库登记!$D$2:$D$51))&lt;5,"紧张","充足")))</f>
        <v/>
      </c>
      <c r="I185" s="4" t="inlineStr"/>
    </row>
    <row r="186">
      <c r="A186" s="4">
        <f>IF(入库登记!C186="","",入库登记!C186)</f>
        <v/>
      </c>
      <c r="B186" s="4">
        <f>IF(入库登记!C186="","",入库登记!D186)</f>
        <v/>
      </c>
      <c r="C186" s="4">
        <f>IF(入库登记!C186="","",入库登记!E186)</f>
        <v/>
      </c>
      <c r="D186" s="4">
        <f>IF(入库登记!C186="",0,入库登记!H186)</f>
        <v/>
      </c>
      <c r="E186" s="4">
        <f>IF(入库登记!C186="","",SUMIF(出库登记!$C$2:$C$51,入库登记!C186,出库登记!$D$2:$D$51))</f>
        <v/>
      </c>
      <c r="F186" s="4">
        <f>IF(入库登记!C186="","",入库登记!H186-SUMIF(出库登记!$C$2:$C$51,入库登记!C186,出库登记!$D$2:$D$51))</f>
        <v/>
      </c>
      <c r="G186" s="4">
        <f>IF(入库登记!C186="","",入库登记!G186*(入库登记!H186-SUMIF(出库登记!$C$2:$C$51,入库登记!C186,出库登记!$D$2:$D$51)))</f>
        <v/>
      </c>
      <c r="H186" s="4">
        <f>IF(入库登记!C186="","",IF((入库登记!H186-SUMIF(出库登记!$C$2:$C$51,入库登记!C186,出库登记!$D$2:$D$51))&lt;=0,"缺货",IF((入库登记!H186-SUMIF(出库登记!$C$2:$C$51,入库登记!C186,出库登记!$D$2:$D$51))&lt;5,"紧张","充足")))</f>
        <v/>
      </c>
      <c r="I186" s="4" t="inlineStr"/>
    </row>
    <row r="187">
      <c r="A187" s="4">
        <f>IF(入库登记!C187="","",入库登记!C187)</f>
        <v/>
      </c>
      <c r="B187" s="4">
        <f>IF(入库登记!C187="","",入库登记!D187)</f>
        <v/>
      </c>
      <c r="C187" s="4">
        <f>IF(入库登记!C187="","",入库登记!E187)</f>
        <v/>
      </c>
      <c r="D187" s="4">
        <f>IF(入库登记!C187="",0,入库登记!H187)</f>
        <v/>
      </c>
      <c r="E187" s="4">
        <f>IF(入库登记!C187="","",SUMIF(出库登记!$C$2:$C$51,入库登记!C187,出库登记!$D$2:$D$51))</f>
        <v/>
      </c>
      <c r="F187" s="4">
        <f>IF(入库登记!C187="","",入库登记!H187-SUMIF(出库登记!$C$2:$C$51,入库登记!C187,出库登记!$D$2:$D$51))</f>
        <v/>
      </c>
      <c r="G187" s="4">
        <f>IF(入库登记!C187="","",入库登记!G187*(入库登记!H187-SUMIF(出库登记!$C$2:$C$51,入库登记!C187,出库登记!$D$2:$D$51)))</f>
        <v/>
      </c>
      <c r="H187" s="4">
        <f>IF(入库登记!C187="","",IF((入库登记!H187-SUMIF(出库登记!$C$2:$C$51,入库登记!C187,出库登记!$D$2:$D$51))&lt;=0,"缺货",IF((入库登记!H187-SUMIF(出库登记!$C$2:$C$51,入库登记!C187,出库登记!$D$2:$D$51))&lt;5,"紧张","充足")))</f>
        <v/>
      </c>
      <c r="I187" s="4" t="inlineStr"/>
    </row>
    <row r="188">
      <c r="A188" s="4">
        <f>IF(入库登记!C188="","",入库登记!C188)</f>
        <v/>
      </c>
      <c r="B188" s="4">
        <f>IF(入库登记!C188="","",入库登记!D188)</f>
        <v/>
      </c>
      <c r="C188" s="4">
        <f>IF(入库登记!C188="","",入库登记!E188)</f>
        <v/>
      </c>
      <c r="D188" s="4">
        <f>IF(入库登记!C188="",0,入库登记!H188)</f>
        <v/>
      </c>
      <c r="E188" s="4">
        <f>IF(入库登记!C188="","",SUMIF(出库登记!$C$2:$C$51,入库登记!C188,出库登记!$D$2:$D$51))</f>
        <v/>
      </c>
      <c r="F188" s="4">
        <f>IF(入库登记!C188="","",入库登记!H188-SUMIF(出库登记!$C$2:$C$51,入库登记!C188,出库登记!$D$2:$D$51))</f>
        <v/>
      </c>
      <c r="G188" s="4">
        <f>IF(入库登记!C188="","",入库登记!G188*(入库登记!H188-SUMIF(出库登记!$C$2:$C$51,入库登记!C188,出库登记!$D$2:$D$51)))</f>
        <v/>
      </c>
      <c r="H188" s="4">
        <f>IF(入库登记!C188="","",IF((入库登记!H188-SUMIF(出库登记!$C$2:$C$51,入库登记!C188,出库登记!$D$2:$D$51))&lt;=0,"缺货",IF((入库登记!H188-SUMIF(出库登记!$C$2:$C$51,入库登记!C188,出库登记!$D$2:$D$51))&lt;5,"紧张","充足")))</f>
        <v/>
      </c>
      <c r="I188" s="4" t="inlineStr"/>
    </row>
    <row r="189">
      <c r="A189" s="4">
        <f>IF(入库登记!C189="","",入库登记!C189)</f>
        <v/>
      </c>
      <c r="B189" s="4">
        <f>IF(入库登记!C189="","",入库登记!D189)</f>
        <v/>
      </c>
      <c r="C189" s="4">
        <f>IF(入库登记!C189="","",入库登记!E189)</f>
        <v/>
      </c>
      <c r="D189" s="4">
        <f>IF(入库登记!C189="",0,入库登记!H189)</f>
        <v/>
      </c>
      <c r="E189" s="4">
        <f>IF(入库登记!C189="","",SUMIF(出库登记!$C$2:$C$51,入库登记!C189,出库登记!$D$2:$D$51))</f>
        <v/>
      </c>
      <c r="F189" s="4">
        <f>IF(入库登记!C189="","",入库登记!H189-SUMIF(出库登记!$C$2:$C$51,入库登记!C189,出库登记!$D$2:$D$51))</f>
        <v/>
      </c>
      <c r="G189" s="4">
        <f>IF(入库登记!C189="","",入库登记!G189*(入库登记!H189-SUMIF(出库登记!$C$2:$C$51,入库登记!C189,出库登记!$D$2:$D$51)))</f>
        <v/>
      </c>
      <c r="H189" s="4">
        <f>IF(入库登记!C189="","",IF((入库登记!H189-SUMIF(出库登记!$C$2:$C$51,入库登记!C189,出库登记!$D$2:$D$51))&lt;=0,"缺货",IF((入库登记!H189-SUMIF(出库登记!$C$2:$C$51,入库登记!C189,出库登记!$D$2:$D$51))&lt;5,"紧张","充足")))</f>
        <v/>
      </c>
      <c r="I189" s="4" t="inlineStr"/>
    </row>
    <row r="190">
      <c r="A190" s="4">
        <f>IF(入库登记!C190="","",入库登记!C190)</f>
        <v/>
      </c>
      <c r="B190" s="4">
        <f>IF(入库登记!C190="","",入库登记!D190)</f>
        <v/>
      </c>
      <c r="C190" s="4">
        <f>IF(入库登记!C190="","",入库登记!E190)</f>
        <v/>
      </c>
      <c r="D190" s="4">
        <f>IF(入库登记!C190="",0,入库登记!H190)</f>
        <v/>
      </c>
      <c r="E190" s="4">
        <f>IF(入库登记!C190="","",SUMIF(出库登记!$C$2:$C$51,入库登记!C190,出库登记!$D$2:$D$51))</f>
        <v/>
      </c>
      <c r="F190" s="4">
        <f>IF(入库登记!C190="","",入库登记!H190-SUMIF(出库登记!$C$2:$C$51,入库登记!C190,出库登记!$D$2:$D$51))</f>
        <v/>
      </c>
      <c r="G190" s="4">
        <f>IF(入库登记!C190="","",入库登记!G190*(入库登记!H190-SUMIF(出库登记!$C$2:$C$51,入库登记!C190,出库登记!$D$2:$D$51)))</f>
        <v/>
      </c>
      <c r="H190" s="4">
        <f>IF(入库登记!C190="","",IF((入库登记!H190-SUMIF(出库登记!$C$2:$C$51,入库登记!C190,出库登记!$D$2:$D$51))&lt;=0,"缺货",IF((入库登记!H190-SUMIF(出库登记!$C$2:$C$51,入库登记!C190,出库登记!$D$2:$D$51))&lt;5,"紧张","充足")))</f>
        <v/>
      </c>
      <c r="I190" s="4" t="inlineStr"/>
    </row>
    <row r="191">
      <c r="A191" s="4">
        <f>IF(入库登记!C191="","",入库登记!C191)</f>
        <v/>
      </c>
      <c r="B191" s="4">
        <f>IF(入库登记!C191="","",入库登记!D191)</f>
        <v/>
      </c>
      <c r="C191" s="4">
        <f>IF(入库登记!C191="","",入库登记!E191)</f>
        <v/>
      </c>
      <c r="D191" s="4">
        <f>IF(入库登记!C191="",0,入库登记!H191)</f>
        <v/>
      </c>
      <c r="E191" s="4">
        <f>IF(入库登记!C191="","",SUMIF(出库登记!$C$2:$C$51,入库登记!C191,出库登记!$D$2:$D$51))</f>
        <v/>
      </c>
      <c r="F191" s="4">
        <f>IF(入库登记!C191="","",入库登记!H191-SUMIF(出库登记!$C$2:$C$51,入库登记!C191,出库登记!$D$2:$D$51))</f>
        <v/>
      </c>
      <c r="G191" s="4">
        <f>IF(入库登记!C191="","",入库登记!G191*(入库登记!H191-SUMIF(出库登记!$C$2:$C$51,入库登记!C191,出库登记!$D$2:$D$51)))</f>
        <v/>
      </c>
      <c r="H191" s="4">
        <f>IF(入库登记!C191="","",IF((入库登记!H191-SUMIF(出库登记!$C$2:$C$51,入库登记!C191,出库登记!$D$2:$D$51))&lt;=0,"缺货",IF((入库登记!H191-SUMIF(出库登记!$C$2:$C$51,入库登记!C191,出库登记!$D$2:$D$51))&lt;5,"紧张","充足")))</f>
        <v/>
      </c>
      <c r="I191" s="4" t="inlineStr"/>
    </row>
    <row r="192">
      <c r="A192" s="4">
        <f>IF(入库登记!C192="","",入库登记!C192)</f>
        <v/>
      </c>
      <c r="B192" s="4">
        <f>IF(入库登记!C192="","",入库登记!D192)</f>
        <v/>
      </c>
      <c r="C192" s="4">
        <f>IF(入库登记!C192="","",入库登记!E192)</f>
        <v/>
      </c>
      <c r="D192" s="4">
        <f>IF(入库登记!C192="",0,入库登记!H192)</f>
        <v/>
      </c>
      <c r="E192" s="4">
        <f>IF(入库登记!C192="","",SUMIF(出库登记!$C$2:$C$51,入库登记!C192,出库登记!$D$2:$D$51))</f>
        <v/>
      </c>
      <c r="F192" s="4">
        <f>IF(入库登记!C192="","",入库登记!H192-SUMIF(出库登记!$C$2:$C$51,入库登记!C192,出库登记!$D$2:$D$51))</f>
        <v/>
      </c>
      <c r="G192" s="4">
        <f>IF(入库登记!C192="","",入库登记!G192*(入库登记!H192-SUMIF(出库登记!$C$2:$C$51,入库登记!C192,出库登记!$D$2:$D$51)))</f>
        <v/>
      </c>
      <c r="H192" s="4">
        <f>IF(入库登记!C192="","",IF((入库登记!H192-SUMIF(出库登记!$C$2:$C$51,入库登记!C192,出库登记!$D$2:$D$51))&lt;=0,"缺货",IF((入库登记!H192-SUMIF(出库登记!$C$2:$C$51,入库登记!C192,出库登记!$D$2:$D$51))&lt;5,"紧张","充足")))</f>
        <v/>
      </c>
      <c r="I192" s="4" t="inlineStr"/>
    </row>
    <row r="193">
      <c r="A193" s="4">
        <f>IF(入库登记!C193="","",入库登记!C193)</f>
        <v/>
      </c>
      <c r="B193" s="4">
        <f>IF(入库登记!C193="","",入库登记!D193)</f>
        <v/>
      </c>
      <c r="C193" s="4">
        <f>IF(入库登记!C193="","",入库登记!E193)</f>
        <v/>
      </c>
      <c r="D193" s="4">
        <f>IF(入库登记!C193="",0,入库登记!H193)</f>
        <v/>
      </c>
      <c r="E193" s="4">
        <f>IF(入库登记!C193="","",SUMIF(出库登记!$C$2:$C$51,入库登记!C193,出库登记!$D$2:$D$51))</f>
        <v/>
      </c>
      <c r="F193" s="4">
        <f>IF(入库登记!C193="","",入库登记!H193-SUMIF(出库登记!$C$2:$C$51,入库登记!C193,出库登记!$D$2:$D$51))</f>
        <v/>
      </c>
      <c r="G193" s="4">
        <f>IF(入库登记!C193="","",入库登记!G193*(入库登记!H193-SUMIF(出库登记!$C$2:$C$51,入库登记!C193,出库登记!$D$2:$D$51)))</f>
        <v/>
      </c>
      <c r="H193" s="4">
        <f>IF(入库登记!C193="","",IF((入库登记!H193-SUMIF(出库登记!$C$2:$C$51,入库登记!C193,出库登记!$D$2:$D$51))&lt;=0,"缺货",IF((入库登记!H193-SUMIF(出库登记!$C$2:$C$51,入库登记!C193,出库登记!$D$2:$D$51))&lt;5,"紧张","充足")))</f>
        <v/>
      </c>
      <c r="I193" s="4" t="inlineStr"/>
    </row>
    <row r="194">
      <c r="A194" s="4">
        <f>IF(入库登记!C194="","",入库登记!C194)</f>
        <v/>
      </c>
      <c r="B194" s="4">
        <f>IF(入库登记!C194="","",入库登记!D194)</f>
        <v/>
      </c>
      <c r="C194" s="4">
        <f>IF(入库登记!C194="","",入库登记!E194)</f>
        <v/>
      </c>
      <c r="D194" s="4">
        <f>IF(入库登记!C194="",0,入库登记!H194)</f>
        <v/>
      </c>
      <c r="E194" s="4">
        <f>IF(入库登记!C194="","",SUMIF(出库登记!$C$2:$C$51,入库登记!C194,出库登记!$D$2:$D$51))</f>
        <v/>
      </c>
      <c r="F194" s="4">
        <f>IF(入库登记!C194="","",入库登记!H194-SUMIF(出库登记!$C$2:$C$51,入库登记!C194,出库登记!$D$2:$D$51))</f>
        <v/>
      </c>
      <c r="G194" s="4">
        <f>IF(入库登记!C194="","",入库登记!G194*(入库登记!H194-SUMIF(出库登记!$C$2:$C$51,入库登记!C194,出库登记!$D$2:$D$51)))</f>
        <v/>
      </c>
      <c r="H194" s="4">
        <f>IF(入库登记!C194="","",IF((入库登记!H194-SUMIF(出库登记!$C$2:$C$51,入库登记!C194,出库登记!$D$2:$D$51))&lt;=0,"缺货",IF((入库登记!H194-SUMIF(出库登记!$C$2:$C$51,入库登记!C194,出库登记!$D$2:$D$51))&lt;5,"紧张","充足")))</f>
        <v/>
      </c>
      <c r="I194" s="4" t="inlineStr"/>
    </row>
    <row r="195">
      <c r="A195" s="4">
        <f>IF(入库登记!C195="","",入库登记!C195)</f>
        <v/>
      </c>
      <c r="B195" s="4">
        <f>IF(入库登记!C195="","",入库登记!D195)</f>
        <v/>
      </c>
      <c r="C195" s="4">
        <f>IF(入库登记!C195="","",入库登记!E195)</f>
        <v/>
      </c>
      <c r="D195" s="4">
        <f>IF(入库登记!C195="",0,入库登记!H195)</f>
        <v/>
      </c>
      <c r="E195" s="4">
        <f>IF(入库登记!C195="","",SUMIF(出库登记!$C$2:$C$51,入库登记!C195,出库登记!$D$2:$D$51))</f>
        <v/>
      </c>
      <c r="F195" s="4">
        <f>IF(入库登记!C195="","",入库登记!H195-SUMIF(出库登记!$C$2:$C$51,入库登记!C195,出库登记!$D$2:$D$51))</f>
        <v/>
      </c>
      <c r="G195" s="4">
        <f>IF(入库登记!C195="","",入库登记!G195*(入库登记!H195-SUMIF(出库登记!$C$2:$C$51,入库登记!C195,出库登记!$D$2:$D$51)))</f>
        <v/>
      </c>
      <c r="H195" s="4">
        <f>IF(入库登记!C195="","",IF((入库登记!H195-SUMIF(出库登记!$C$2:$C$51,入库登记!C195,出库登记!$D$2:$D$51))&lt;=0,"缺货",IF((入库登记!H195-SUMIF(出库登记!$C$2:$C$51,入库登记!C195,出库登记!$D$2:$D$51))&lt;5,"紧张","充足")))</f>
        <v/>
      </c>
      <c r="I195" s="4" t="inlineStr"/>
    </row>
    <row r="196">
      <c r="A196" s="4">
        <f>IF(入库登记!C196="","",入库登记!C196)</f>
        <v/>
      </c>
      <c r="B196" s="4">
        <f>IF(入库登记!C196="","",入库登记!D196)</f>
        <v/>
      </c>
      <c r="C196" s="4">
        <f>IF(入库登记!C196="","",入库登记!E196)</f>
        <v/>
      </c>
      <c r="D196" s="4">
        <f>IF(入库登记!C196="",0,入库登记!H196)</f>
        <v/>
      </c>
      <c r="E196" s="4">
        <f>IF(入库登记!C196="","",SUMIF(出库登记!$C$2:$C$51,入库登记!C196,出库登记!$D$2:$D$51))</f>
        <v/>
      </c>
      <c r="F196" s="4">
        <f>IF(入库登记!C196="","",入库登记!H196-SUMIF(出库登记!$C$2:$C$51,入库登记!C196,出库登记!$D$2:$D$51))</f>
        <v/>
      </c>
      <c r="G196" s="4">
        <f>IF(入库登记!C196="","",入库登记!G196*(入库登记!H196-SUMIF(出库登记!$C$2:$C$51,入库登记!C196,出库登记!$D$2:$D$51)))</f>
        <v/>
      </c>
      <c r="H196" s="4">
        <f>IF(入库登记!C196="","",IF((入库登记!H196-SUMIF(出库登记!$C$2:$C$51,入库登记!C196,出库登记!$D$2:$D$51))&lt;=0,"缺货",IF((入库登记!H196-SUMIF(出库登记!$C$2:$C$51,入库登记!C196,出库登记!$D$2:$D$51))&lt;5,"紧张","充足")))</f>
        <v/>
      </c>
      <c r="I196" s="4" t="inlineStr"/>
    </row>
    <row r="197">
      <c r="A197" s="4">
        <f>IF(入库登记!C197="","",入库登记!C197)</f>
        <v/>
      </c>
      <c r="B197" s="4">
        <f>IF(入库登记!C197="","",入库登记!D197)</f>
        <v/>
      </c>
      <c r="C197" s="4">
        <f>IF(入库登记!C197="","",入库登记!E197)</f>
        <v/>
      </c>
      <c r="D197" s="4">
        <f>IF(入库登记!C197="",0,入库登记!H197)</f>
        <v/>
      </c>
      <c r="E197" s="4">
        <f>IF(入库登记!C197="","",SUMIF(出库登记!$C$2:$C$51,入库登记!C197,出库登记!$D$2:$D$51))</f>
        <v/>
      </c>
      <c r="F197" s="4">
        <f>IF(入库登记!C197="","",入库登记!H197-SUMIF(出库登记!$C$2:$C$51,入库登记!C197,出库登记!$D$2:$D$51))</f>
        <v/>
      </c>
      <c r="G197" s="4">
        <f>IF(入库登记!C197="","",入库登记!G197*(入库登记!H197-SUMIF(出库登记!$C$2:$C$51,入库登记!C197,出库登记!$D$2:$D$51)))</f>
        <v/>
      </c>
      <c r="H197" s="4">
        <f>IF(入库登记!C197="","",IF((入库登记!H197-SUMIF(出库登记!$C$2:$C$51,入库登记!C197,出库登记!$D$2:$D$51))&lt;=0,"缺货",IF((入库登记!H197-SUMIF(出库登记!$C$2:$C$51,入库登记!C197,出库登记!$D$2:$D$51))&lt;5,"紧张","充足")))</f>
        <v/>
      </c>
      <c r="I197" s="4" t="inlineStr"/>
    </row>
    <row r="198">
      <c r="A198" s="4">
        <f>IF(入库登记!C198="","",入库登记!C198)</f>
        <v/>
      </c>
      <c r="B198" s="4">
        <f>IF(入库登记!C198="","",入库登记!D198)</f>
        <v/>
      </c>
      <c r="C198" s="4">
        <f>IF(入库登记!C198="","",入库登记!E198)</f>
        <v/>
      </c>
      <c r="D198" s="4">
        <f>IF(入库登记!C198="",0,入库登记!H198)</f>
        <v/>
      </c>
      <c r="E198" s="4">
        <f>IF(入库登记!C198="","",SUMIF(出库登记!$C$2:$C$51,入库登记!C198,出库登记!$D$2:$D$51))</f>
        <v/>
      </c>
      <c r="F198" s="4">
        <f>IF(入库登记!C198="","",入库登记!H198-SUMIF(出库登记!$C$2:$C$51,入库登记!C198,出库登记!$D$2:$D$51))</f>
        <v/>
      </c>
      <c r="G198" s="4">
        <f>IF(入库登记!C198="","",入库登记!G198*(入库登记!H198-SUMIF(出库登记!$C$2:$C$51,入库登记!C198,出库登记!$D$2:$D$51)))</f>
        <v/>
      </c>
      <c r="H198" s="4">
        <f>IF(入库登记!C198="","",IF((入库登记!H198-SUMIF(出库登记!$C$2:$C$51,入库登记!C198,出库登记!$D$2:$D$51))&lt;=0,"缺货",IF((入库登记!H198-SUMIF(出库登记!$C$2:$C$51,入库登记!C198,出库登记!$D$2:$D$51))&lt;5,"紧张","充足")))</f>
        <v/>
      </c>
      <c r="I198" s="4" t="inlineStr"/>
    </row>
    <row r="199">
      <c r="A199" s="4">
        <f>IF(入库登记!C199="","",入库登记!C199)</f>
        <v/>
      </c>
      <c r="B199" s="4">
        <f>IF(入库登记!C199="","",入库登记!D199)</f>
        <v/>
      </c>
      <c r="C199" s="4">
        <f>IF(入库登记!C199="","",入库登记!E199)</f>
        <v/>
      </c>
      <c r="D199" s="4">
        <f>IF(入库登记!C199="",0,入库登记!H199)</f>
        <v/>
      </c>
      <c r="E199" s="4">
        <f>IF(入库登记!C199="","",SUMIF(出库登记!$C$2:$C$51,入库登记!C199,出库登记!$D$2:$D$51))</f>
        <v/>
      </c>
      <c r="F199" s="4">
        <f>IF(入库登记!C199="","",入库登记!H199-SUMIF(出库登记!$C$2:$C$51,入库登记!C199,出库登记!$D$2:$D$51))</f>
        <v/>
      </c>
      <c r="G199" s="4">
        <f>IF(入库登记!C199="","",入库登记!G199*(入库登记!H199-SUMIF(出库登记!$C$2:$C$51,入库登记!C199,出库登记!$D$2:$D$51)))</f>
        <v/>
      </c>
      <c r="H199" s="4">
        <f>IF(入库登记!C199="","",IF((入库登记!H199-SUMIF(出库登记!$C$2:$C$51,入库登记!C199,出库登记!$D$2:$D$51))&lt;=0,"缺货",IF((入库登记!H199-SUMIF(出库登记!$C$2:$C$51,入库登记!C199,出库登记!$D$2:$D$51))&lt;5,"紧张","充足")))</f>
        <v/>
      </c>
      <c r="I199" s="4" t="inlineStr"/>
    </row>
    <row r="200">
      <c r="A200" s="4">
        <f>IF(入库登记!C200="","",入库登记!C200)</f>
        <v/>
      </c>
      <c r="B200" s="4">
        <f>IF(入库登记!C200="","",入库登记!D200)</f>
        <v/>
      </c>
      <c r="C200" s="4">
        <f>IF(入库登记!C200="","",入库登记!E200)</f>
        <v/>
      </c>
      <c r="D200" s="4">
        <f>IF(入库登记!C200="",0,入库登记!H200)</f>
        <v/>
      </c>
      <c r="E200" s="4">
        <f>IF(入库登记!C200="","",SUMIF(出库登记!$C$2:$C$51,入库登记!C200,出库登记!$D$2:$D$51))</f>
        <v/>
      </c>
      <c r="F200" s="4">
        <f>IF(入库登记!C200="","",入库登记!H200-SUMIF(出库登记!$C$2:$C$51,入库登记!C200,出库登记!$D$2:$D$51))</f>
        <v/>
      </c>
      <c r="G200" s="4">
        <f>IF(入库登记!C200="","",入库登记!G200*(入库登记!H200-SUMIF(出库登记!$C$2:$C$51,入库登记!C200,出库登记!$D$2:$D$51)))</f>
        <v/>
      </c>
      <c r="H200" s="4">
        <f>IF(入库登记!C200="","",IF((入库登记!H200-SUMIF(出库登记!$C$2:$C$51,入库登记!C200,出库登记!$D$2:$D$51))&lt;=0,"缺货",IF((入库登记!H200-SUMIF(出库登记!$C$2:$C$51,入库登记!C200,出库登记!$D$2:$D$51))&lt;5,"紧张","充足")))</f>
        <v/>
      </c>
      <c r="I200" s="4" t="inlineStr"/>
    </row>
    <row r="201">
      <c r="A201" s="4">
        <f>IF(入库登记!C201="","",入库登记!C201)</f>
        <v/>
      </c>
      <c r="B201" s="4">
        <f>IF(入库登记!C201="","",入库登记!D201)</f>
        <v/>
      </c>
      <c r="C201" s="4">
        <f>IF(入库登记!C201="","",入库登记!E201)</f>
        <v/>
      </c>
      <c r="D201" s="4">
        <f>IF(入库登记!C201="",0,入库登记!H201)</f>
        <v/>
      </c>
      <c r="E201" s="4">
        <f>IF(入库登记!C201="","",SUMIF(出库登记!$C$2:$C$51,入库登记!C201,出库登记!$D$2:$D$51))</f>
        <v/>
      </c>
      <c r="F201" s="4">
        <f>IF(入库登记!C201="","",入库登记!H201-SUMIF(出库登记!$C$2:$C$51,入库登记!C201,出库登记!$D$2:$D$51))</f>
        <v/>
      </c>
      <c r="G201" s="4">
        <f>IF(入库登记!C201="","",入库登记!G201*(入库登记!H201-SUMIF(出库登记!$C$2:$C$51,入库登记!C201,出库登记!$D$2:$D$51)))</f>
        <v/>
      </c>
      <c r="H201" s="4">
        <f>IF(入库登记!C201="","",IF((入库登记!H201-SUMIF(出库登记!$C$2:$C$51,入库登记!C201,出库登记!$D$2:$D$51))&lt;=0,"缺货",IF((入库登记!H201-SUMIF(出库登记!$C$2:$C$51,入库登记!C201,出库登记!$D$2:$D$51))&lt;5,"紧张","充足")))</f>
        <v/>
      </c>
      <c r="I20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2026-07-29T05:32:23Z</dcterms:created>
  <dcterms:modified xmlns:dcterms="http://purl.org/dc/terms/" xmlns:xsi="http://www.w3.org/2001/XMLSchema-instance" xsi:type="dcterms:W3CDTF">2026-07-29T05:32:23Z</dcterms:modified>
</cp:coreProperties>
</file>